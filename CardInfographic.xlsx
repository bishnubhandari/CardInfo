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gon\Desktop\"/>
    </mc:Choice>
  </mc:AlternateContent>
  <xr:revisionPtr revIDLastSave="0" documentId="8_{F4731DAF-C937-4A58-B9CB-E0DFC44ADC92}" xr6:coauthVersionLast="47" xr6:coauthVersionMax="47" xr10:uidLastSave="{00000000-0000-0000-0000-000000000000}"/>
  <bookViews>
    <workbookView xWindow="-120" yWindow="-120" windowWidth="20730" windowHeight="11040" xr2:uid="{44CC5891-A052-4E43-A73C-FE18933AE75A}"/>
  </bookViews>
  <sheets>
    <sheet name="Branch Wis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0" i="1" l="1"/>
  <c r="B11" i="1"/>
  <c r="F15" i="1"/>
  <c r="F90" i="1" s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</calcChain>
</file>

<file path=xl/sharedStrings.xml><?xml version="1.0" encoding="utf-8"?>
<sst xmlns="http://schemas.openxmlformats.org/spreadsheetml/2006/main" count="244" uniqueCount="167">
  <si>
    <t>GHANDRUK BRANCH</t>
  </si>
  <si>
    <t>Regional Office-Pokhara</t>
  </si>
  <si>
    <t>078</t>
  </si>
  <si>
    <t>TALCHOWK BRANCH</t>
  </si>
  <si>
    <t>084</t>
  </si>
  <si>
    <t>LAKESIDE BRANCH</t>
  </si>
  <si>
    <t>087</t>
  </si>
  <si>
    <t>NARAYANGADH BRANCH</t>
  </si>
  <si>
    <t>059</t>
  </si>
  <si>
    <t>ABUKHAIRENI BRANCH</t>
  </si>
  <si>
    <t>067</t>
  </si>
  <si>
    <t>DEVGHAT BRANCH</t>
  </si>
  <si>
    <t>037</t>
  </si>
  <si>
    <t>KAWASOTI BRANCH</t>
  </si>
  <si>
    <t>074</t>
  </si>
  <si>
    <t>TANDI BRANCH</t>
  </si>
  <si>
    <t>108</t>
  </si>
  <si>
    <t>POKHARA BRANCH</t>
  </si>
  <si>
    <t>018</t>
  </si>
  <si>
    <t>BHARATPUR BRANCH</t>
  </si>
  <si>
    <t>015</t>
  </si>
  <si>
    <t>NEPALGUNJ BRANCH</t>
  </si>
  <si>
    <t>Regional Office-Kohalpur</t>
  </si>
  <si>
    <t>019</t>
  </si>
  <si>
    <t>MAHENDRANAGAR BRANCH</t>
  </si>
  <si>
    <t>073</t>
  </si>
  <si>
    <t>KOHALPUR BRANCH</t>
  </si>
  <si>
    <t>023</t>
  </si>
  <si>
    <t>SURKHET BRANCH</t>
  </si>
  <si>
    <t>031</t>
  </si>
  <si>
    <t>TULSIPUR BRANCH</t>
  </si>
  <si>
    <t>042</t>
  </si>
  <si>
    <t>MAURIGHAT BRANCH</t>
  </si>
  <si>
    <t>035</t>
  </si>
  <si>
    <t>GHORAHI BRANCH</t>
  </si>
  <si>
    <t>032</t>
  </si>
  <si>
    <t>KOTESHWOR BRANCH</t>
  </si>
  <si>
    <t>Regional Office-Kathmandu B</t>
  </si>
  <si>
    <t>004</t>
  </si>
  <si>
    <t>JHAMSIKHEL BRANCH</t>
  </si>
  <si>
    <t>100</t>
  </si>
  <si>
    <t>PRAYAG POKHARI BRANC</t>
  </si>
  <si>
    <t>009</t>
  </si>
  <si>
    <t>CHYAMASINGH BRANCH</t>
  </si>
  <si>
    <t>013</t>
  </si>
  <si>
    <t>SANKHU BRANCH</t>
  </si>
  <si>
    <t>083</t>
  </si>
  <si>
    <t>BANESHWOR BRANCH</t>
  </si>
  <si>
    <t>021</t>
  </si>
  <si>
    <t>BODE BRANCH</t>
  </si>
  <si>
    <t>080</t>
  </si>
  <si>
    <t>JORPATI BRANCH</t>
  </si>
  <si>
    <t>005</t>
  </si>
  <si>
    <t>SARASWATINAGAR BRANCH</t>
  </si>
  <si>
    <t>011</t>
  </si>
  <si>
    <t>CHAPAGAUN BRANCH</t>
  </si>
  <si>
    <t>053</t>
  </si>
  <si>
    <t>SINAMANGAL BRANCH</t>
  </si>
  <si>
    <t>090</t>
  </si>
  <si>
    <t>PEPSICOLA BRANCH</t>
  </si>
  <si>
    <t>048</t>
  </si>
  <si>
    <t>GOKARNA BRANCH</t>
  </si>
  <si>
    <t>120</t>
  </si>
  <si>
    <t>RATOPUL BRANCH</t>
  </si>
  <si>
    <t>099</t>
  </si>
  <si>
    <t>TIKATHALI BRANCH</t>
  </si>
  <si>
    <t>118</t>
  </si>
  <si>
    <t>ASON BRANCH</t>
  </si>
  <si>
    <t>Regional Office-Kathmandu A</t>
  </si>
  <si>
    <t>007</t>
  </si>
  <si>
    <t>KALIMATI BRANCH</t>
  </si>
  <si>
    <t>050</t>
  </si>
  <si>
    <t>THAMEL BRANCH</t>
  </si>
  <si>
    <t>049</t>
  </si>
  <si>
    <t>MAHARAJGUNJ BRANCH</t>
  </si>
  <si>
    <t>088</t>
  </si>
  <si>
    <t>SITAPAILA BRANCH</t>
  </si>
  <si>
    <t>101</t>
  </si>
  <si>
    <t>NEWROAD BRANCH</t>
  </si>
  <si>
    <t>024</t>
  </si>
  <si>
    <t>TOKHA BRANCH</t>
  </si>
  <si>
    <t>052</t>
  </si>
  <si>
    <t>NEPALTAR BRANCH</t>
  </si>
  <si>
    <t>040</t>
  </si>
  <si>
    <t>GONGABU BRANCH</t>
  </si>
  <si>
    <t>089</t>
  </si>
  <si>
    <t>BALAJU BRANCH</t>
  </si>
  <si>
    <t>022</t>
  </si>
  <si>
    <t>KIRTIPUR BRANCH</t>
  </si>
  <si>
    <t>079</t>
  </si>
  <si>
    <t>PHUTUNG BRANCH</t>
  </si>
  <si>
    <t>105</t>
  </si>
  <si>
    <t>BALAMBU BRANCH</t>
  </si>
  <si>
    <t>081</t>
  </si>
  <si>
    <t>DAMAK BRANCH</t>
  </si>
  <si>
    <t>Regional Office-Itahari</t>
  </si>
  <si>
    <t>047</t>
  </si>
  <si>
    <t>BIRATNAGAR BRANCH</t>
  </si>
  <si>
    <t>016</t>
  </si>
  <si>
    <t>BIRTAMOD BRANCH</t>
  </si>
  <si>
    <t>055</t>
  </si>
  <si>
    <t>PATHARI BRANCH</t>
  </si>
  <si>
    <t>010</t>
  </si>
  <si>
    <t>DHARAN BRANCH</t>
  </si>
  <si>
    <t>085</t>
  </si>
  <si>
    <t>JHUMKA BRANCH</t>
  </si>
  <si>
    <t>030</t>
  </si>
  <si>
    <t>ITAHARI BRANCH</t>
  </si>
  <si>
    <t>102</t>
  </si>
  <si>
    <t>DIKTEL BRANCH</t>
  </si>
  <si>
    <t>014</t>
  </si>
  <si>
    <t>KHORSANE BRANCH</t>
  </si>
  <si>
    <t>054</t>
  </si>
  <si>
    <t>KATARI BRANCH</t>
  </si>
  <si>
    <t>111</t>
  </si>
  <si>
    <t>GAIGHAT BRANCH</t>
  </si>
  <si>
    <t>075</t>
  </si>
  <si>
    <t>BARDIBAS BRANCH</t>
  </si>
  <si>
    <t>Regional Office-Bardibas</t>
  </si>
  <si>
    <t>003</t>
  </si>
  <si>
    <t>HARIWON BRANCH</t>
  </si>
  <si>
    <t>069</t>
  </si>
  <si>
    <t>CHANDRANIGAPUR BRANC</t>
  </si>
  <si>
    <t>008</t>
  </si>
  <si>
    <t>SINDHULI BRANCH</t>
  </si>
  <si>
    <t>070</t>
  </si>
  <si>
    <t>LAHAN BRANCH</t>
  </si>
  <si>
    <t>110</t>
  </si>
  <si>
    <t>JANAKPUR BRANCH</t>
  </si>
  <si>
    <t>058</t>
  </si>
  <si>
    <t>BIRGUNJ BRANCH</t>
  </si>
  <si>
    <t>012</t>
  </si>
  <si>
    <t>HETAUDA BRANCH</t>
  </si>
  <si>
    <t>034</t>
  </si>
  <si>
    <t>BATTAR BRANCH</t>
  </si>
  <si>
    <t>Nuwakot Cluster Office -Battar</t>
  </si>
  <si>
    <t>091</t>
  </si>
  <si>
    <t>CHHAHARE BRANCH</t>
  </si>
  <si>
    <t>093</t>
  </si>
  <si>
    <t>RANIPAUWA BRANCH</t>
  </si>
  <si>
    <t>095</t>
  </si>
  <si>
    <t>BHAIRAHAWA BRANCH</t>
  </si>
  <si>
    <t>Butwal Cluster Office -Butwal</t>
  </si>
  <si>
    <t>071</t>
  </si>
  <si>
    <t>JEETPUR BRANCH</t>
  </si>
  <si>
    <t>072</t>
  </si>
  <si>
    <t>BHINGRI BRANCH</t>
  </si>
  <si>
    <t>026</t>
  </si>
  <si>
    <t>MURGIYA BRANCH</t>
  </si>
  <si>
    <t>107</t>
  </si>
  <si>
    <t>TANSEN BRANCH</t>
  </si>
  <si>
    <t>077</t>
  </si>
  <si>
    <t>BUTWAL BRANCH</t>
  </si>
  <si>
    <t>002</t>
  </si>
  <si>
    <t>BAGDULA BRANCH</t>
  </si>
  <si>
    <t>025</t>
  </si>
  <si>
    <t>MAIN BRANCH</t>
  </si>
  <si>
    <t>Banking Office</t>
  </si>
  <si>
    <t>001</t>
  </si>
  <si>
    <t>Daily Average</t>
  </si>
  <si>
    <t>Total Card</t>
  </si>
  <si>
    <t>RankNo</t>
  </si>
  <si>
    <t>TotalCount</t>
  </si>
  <si>
    <t>BranchName</t>
  </si>
  <si>
    <t>RegionName</t>
  </si>
  <si>
    <t>BranchCode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</si>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</sst>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1" applyNumberFormat="1" applyFont="1"/>
    <xf numFmtId="49" fontId="0" fillId="0" borderId="0" xfId="0" applyNumberFormat="1"/>
    <xf numFmtId="164" fontId="0" fillId="0" borderId="1" xfId="0" applyNumberFormat="1" applyBorder="1"/>
    <xf numFmtId="0" fontId="0" fillId="0" borderId="1" xfId="0" applyBorder="1"/>
    <xf numFmtId="164" fontId="0" fillId="0" borderId="1" xfId="1" applyNumberFormat="1" applyFont="1" applyBorder="1"/>
    <xf numFmtId="49" fontId="0" fillId="0" borderId="1" xfId="0" applyNumberFormat="1" applyBorder="1"/>
    <xf numFmtId="164" fontId="0" fillId="2" borderId="1" xfId="0" applyNumberFormat="1" applyFill="1" applyBorder="1"/>
    <xf numFmtId="0" fontId="0" fillId="2" borderId="1" xfId="0" applyFill="1" applyBorder="1"/>
    <xf numFmtId="164" fontId="0" fillId="2" borderId="1" xfId="1" applyNumberFormat="1" applyFont="1" applyFill="1" applyBorder="1"/>
    <xf numFmtId="49" fontId="0" fillId="2" borderId="1" xfId="0" applyNumberFormat="1" applyFill="1" applyBorder="1"/>
    <xf numFmtId="164" fontId="0" fillId="0" borderId="1" xfId="1" applyNumberFormat="1" applyFont="1" applyFill="1" applyBorder="1"/>
    <xf numFmtId="0" fontId="2" fillId="0" borderId="1" xfId="0" applyFont="1" applyBorder="1"/>
    <xf numFmtId="164" fontId="2" fillId="0" borderId="1" xfId="1" applyNumberFormat="1" applyFont="1" applyBorder="1"/>
    <xf numFmtId="49" fontId="2" fillId="0" borderId="1" xfId="0" applyNumberFormat="1" applyFont="1" applyBorder="1"/>
    <xf numFmtId="164" fontId="2" fillId="0" borderId="0" xfId="1" applyNumberFormat="1" applyFont="1" applyBorder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krishna.sharma/Desktop/Transaction%20detail%20of%20ATM.xlsx" TargetMode="External"/><Relationship Id="rId1" Type="http://schemas.openxmlformats.org/officeDocument/2006/relationships/externalLinkPath" Target="/Users/krishna.sharma/Desktop/Transaction%20detail%20of%20AT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gion Wise"/>
      <sheetName val="DebitCard"/>
    </sheetNames>
    <sheetDataSet>
      <sheetData sheetId="0"/>
      <sheetData sheetId="1">
        <row r="2">
          <cell r="B2" t="str">
            <v>001</v>
          </cell>
          <cell r="C2" t="str">
            <v>Banking Office</v>
          </cell>
          <cell r="D2" t="str">
            <v>MAIN BRANCH</v>
          </cell>
          <cell r="E2">
            <v>311</v>
          </cell>
        </row>
        <row r="3">
          <cell r="B3" t="str">
            <v>002</v>
          </cell>
          <cell r="C3" t="str">
            <v>Butwal Cluster Office</v>
          </cell>
          <cell r="D3" t="str">
            <v>BUTWAL BRANCH</v>
          </cell>
          <cell r="E3">
            <v>144</v>
          </cell>
        </row>
        <row r="4">
          <cell r="B4" t="str">
            <v>025</v>
          </cell>
          <cell r="C4" t="str">
            <v>Butwal Cluster Office</v>
          </cell>
          <cell r="D4" t="str">
            <v>BAGDULA BRANCH</v>
          </cell>
          <cell r="E4">
            <v>474</v>
          </cell>
        </row>
        <row r="5">
          <cell r="B5" t="str">
            <v>026</v>
          </cell>
          <cell r="C5" t="str">
            <v>Butwal Cluster Office</v>
          </cell>
          <cell r="D5" t="str">
            <v>BHINGRI BRANCH</v>
          </cell>
          <cell r="E5">
            <v>191</v>
          </cell>
        </row>
        <row r="6">
          <cell r="B6" t="str">
            <v>071</v>
          </cell>
          <cell r="C6" t="str">
            <v>Butwal Cluster Office</v>
          </cell>
          <cell r="D6" t="str">
            <v>BHAIRAHAWA BRANCH</v>
          </cell>
          <cell r="E6">
            <v>87</v>
          </cell>
        </row>
        <row r="7">
          <cell r="B7" t="str">
            <v>072</v>
          </cell>
          <cell r="C7" t="str">
            <v>Butwal Cluster Office</v>
          </cell>
          <cell r="D7" t="str">
            <v>JEETPUR BRANCH</v>
          </cell>
          <cell r="E7">
            <v>118</v>
          </cell>
        </row>
        <row r="8">
          <cell r="B8" t="str">
            <v>077</v>
          </cell>
          <cell r="C8" t="str">
            <v>Butwal Cluster Office</v>
          </cell>
          <cell r="D8" t="str">
            <v>TANSEN BRANCH</v>
          </cell>
          <cell r="E8">
            <v>119</v>
          </cell>
        </row>
        <row r="9">
          <cell r="B9" t="str">
            <v>107</v>
          </cell>
          <cell r="C9" t="str">
            <v>Butwal Cluster Office</v>
          </cell>
          <cell r="D9" t="str">
            <v>MURGIYA BRANCH</v>
          </cell>
          <cell r="E9">
            <v>138</v>
          </cell>
        </row>
        <row r="10">
          <cell r="B10" t="str">
            <v>091</v>
          </cell>
          <cell r="C10" t="str">
            <v>Nuwakot Cluster Office -Battar</v>
          </cell>
          <cell r="D10" t="str">
            <v>BATTAR BRANCH</v>
          </cell>
          <cell r="E10">
            <v>86</v>
          </cell>
        </row>
        <row r="11">
          <cell r="B11" t="str">
            <v>093</v>
          </cell>
          <cell r="C11" t="str">
            <v>Nuwakot Cluster Office -Battar</v>
          </cell>
          <cell r="D11" t="str">
            <v>CHHAHARE BRANCH</v>
          </cell>
          <cell r="E11">
            <v>76</v>
          </cell>
        </row>
        <row r="12">
          <cell r="B12" t="str">
            <v>095</v>
          </cell>
          <cell r="C12" t="str">
            <v>Nuwakot Cluster Office -Battar</v>
          </cell>
          <cell r="D12" t="str">
            <v>RANIPAUWA BRANCH</v>
          </cell>
          <cell r="E12">
            <v>121</v>
          </cell>
        </row>
        <row r="13">
          <cell r="B13" t="str">
            <v>007</v>
          </cell>
          <cell r="C13" t="str">
            <v>Regional Office - Kathmandu</v>
          </cell>
          <cell r="D13" t="str">
            <v>ASON BRANCH</v>
          </cell>
          <cell r="E13">
            <v>44</v>
          </cell>
        </row>
        <row r="14">
          <cell r="B14" t="str">
            <v>022</v>
          </cell>
          <cell r="C14" t="str">
            <v>Regional Office - Kathmandu</v>
          </cell>
          <cell r="D14" t="str">
            <v>BALAJU BRANCH</v>
          </cell>
          <cell r="E14">
            <v>137</v>
          </cell>
        </row>
        <row r="15">
          <cell r="B15" t="str">
            <v>024</v>
          </cell>
          <cell r="C15" t="str">
            <v>Regional Office - Kathmandu</v>
          </cell>
          <cell r="D15" t="str">
            <v>NEWROAD BRANCH</v>
          </cell>
          <cell r="E15">
            <v>57</v>
          </cell>
        </row>
        <row r="16">
          <cell r="B16" t="str">
            <v>040</v>
          </cell>
          <cell r="C16" t="str">
            <v>Regional Office - Kathmandu</v>
          </cell>
          <cell r="D16" t="str">
            <v>NEPALTAR BRANCH</v>
          </cell>
          <cell r="E16">
            <v>263</v>
          </cell>
        </row>
        <row r="17">
          <cell r="B17" t="str">
            <v>049</v>
          </cell>
          <cell r="C17" t="str">
            <v>Regional Office - Kathmandu</v>
          </cell>
          <cell r="D17" t="str">
            <v>THAMEL BRANCH</v>
          </cell>
          <cell r="E17">
            <v>29</v>
          </cell>
        </row>
        <row r="18">
          <cell r="B18" t="str">
            <v>050</v>
          </cell>
          <cell r="C18" t="str">
            <v>Regional Office - Kathmandu</v>
          </cell>
          <cell r="D18" t="str">
            <v>KALIMATI BRANCH</v>
          </cell>
          <cell r="E18">
            <v>109</v>
          </cell>
        </row>
        <row r="19">
          <cell r="B19" t="str">
            <v>052</v>
          </cell>
          <cell r="C19" t="str">
            <v>Regional Office - Kathmandu</v>
          </cell>
          <cell r="D19" t="str">
            <v>TOKHA BRANCH</v>
          </cell>
          <cell r="E19">
            <v>147</v>
          </cell>
        </row>
        <row r="20">
          <cell r="B20" t="str">
            <v>079</v>
          </cell>
          <cell r="C20" t="str">
            <v>Regional Office - Kathmandu</v>
          </cell>
          <cell r="D20" t="str">
            <v>KIRTIPUR BRANCH</v>
          </cell>
          <cell r="E20">
            <v>152</v>
          </cell>
        </row>
        <row r="21">
          <cell r="B21" t="str">
            <v>081</v>
          </cell>
          <cell r="C21" t="str">
            <v>Regional Office - Kathmandu</v>
          </cell>
          <cell r="D21" t="str">
            <v>BALAMBU BRANCH</v>
          </cell>
          <cell r="E21">
            <v>182</v>
          </cell>
        </row>
        <row r="22">
          <cell r="B22" t="str">
            <v>088</v>
          </cell>
          <cell r="C22" t="str">
            <v>Regional Office - Kathmandu</v>
          </cell>
          <cell r="D22" t="str">
            <v>MAHARAJGUNJ BRANCH</v>
          </cell>
          <cell r="E22">
            <v>93</v>
          </cell>
        </row>
        <row r="23">
          <cell r="B23" t="str">
            <v>089</v>
          </cell>
          <cell r="C23" t="str">
            <v>Regional Office - Kathmandu</v>
          </cell>
          <cell r="D23" t="str">
            <v>GONGABU BRANCH</v>
          </cell>
          <cell r="E23">
            <v>302</v>
          </cell>
        </row>
        <row r="24">
          <cell r="B24" t="str">
            <v>101</v>
          </cell>
          <cell r="C24" t="str">
            <v>Regional Office - Kathmandu</v>
          </cell>
          <cell r="D24" t="str">
            <v>SITAPAILA BRANCH</v>
          </cell>
          <cell r="E24">
            <v>117</v>
          </cell>
        </row>
        <row r="25">
          <cell r="B25" t="str">
            <v>105</v>
          </cell>
          <cell r="C25" t="str">
            <v>Regional Office - Kathmandu</v>
          </cell>
          <cell r="D25" t="str">
            <v>PHUTUNG BRANCH</v>
          </cell>
          <cell r="E25">
            <v>89</v>
          </cell>
        </row>
        <row r="26">
          <cell r="B26" t="str">
            <v>004</v>
          </cell>
          <cell r="C26" t="str">
            <v>Regional Office - Kathmandu B</v>
          </cell>
          <cell r="D26" t="str">
            <v>KOTESHWOR BRANCH</v>
          </cell>
          <cell r="E26">
            <v>38</v>
          </cell>
        </row>
        <row r="27">
          <cell r="B27" t="str">
            <v>005</v>
          </cell>
          <cell r="C27" t="str">
            <v>Regional Office - Kathmandu B</v>
          </cell>
          <cell r="D27" t="str">
            <v>JORPATI BRANCH</v>
          </cell>
          <cell r="E27">
            <v>119</v>
          </cell>
        </row>
        <row r="28">
          <cell r="B28" t="str">
            <v>009</v>
          </cell>
          <cell r="C28" t="str">
            <v>Regional Office - Kathmandu B</v>
          </cell>
          <cell r="D28" t="str">
            <v>PRAYAG POKHARI BRANC</v>
          </cell>
          <cell r="E28">
            <v>51</v>
          </cell>
        </row>
        <row r="29">
          <cell r="B29" t="str">
            <v>011</v>
          </cell>
          <cell r="C29" t="str">
            <v>Regional Office - Kathmandu B</v>
          </cell>
          <cell r="D29" t="str">
            <v>SARASWATINAGAR BRANCH</v>
          </cell>
          <cell r="E29">
            <v>90</v>
          </cell>
        </row>
        <row r="30">
          <cell r="B30" t="str">
            <v>013</v>
          </cell>
          <cell r="C30" t="str">
            <v>Regional Office - Kathmandu B</v>
          </cell>
          <cell r="D30" t="str">
            <v>CHYAMASINGH BRANCH</v>
          </cell>
          <cell r="E30">
            <v>133</v>
          </cell>
        </row>
        <row r="31">
          <cell r="B31" t="str">
            <v>021</v>
          </cell>
          <cell r="C31" t="str">
            <v>Regional Office - Kathmandu B</v>
          </cell>
          <cell r="D31" t="str">
            <v>BANESHWOR BRANCH</v>
          </cell>
          <cell r="E31">
            <v>108</v>
          </cell>
        </row>
        <row r="32">
          <cell r="B32" t="str">
            <v>048</v>
          </cell>
          <cell r="C32" t="str">
            <v>Regional Office - Kathmandu B</v>
          </cell>
          <cell r="D32" t="str">
            <v>PEPSICOLA BRANCH</v>
          </cell>
          <cell r="E32">
            <v>142</v>
          </cell>
        </row>
        <row r="33">
          <cell r="B33" t="str">
            <v>053</v>
          </cell>
          <cell r="C33" t="str">
            <v>Regional Office - Kathmandu B</v>
          </cell>
          <cell r="D33" t="str">
            <v>CHAPAGAUN BRANCH</v>
          </cell>
          <cell r="E33">
            <v>160</v>
          </cell>
        </row>
        <row r="34">
          <cell r="B34" t="str">
            <v>080</v>
          </cell>
          <cell r="C34" t="str">
            <v>Regional Office - Kathmandu B</v>
          </cell>
          <cell r="D34" t="str">
            <v>BODE BRANCH</v>
          </cell>
          <cell r="E34">
            <v>165</v>
          </cell>
        </row>
        <row r="35">
          <cell r="B35" t="str">
            <v>083</v>
          </cell>
          <cell r="C35" t="str">
            <v>Regional Office - Kathmandu B</v>
          </cell>
          <cell r="D35" t="str">
            <v>SANKHU BRANCH</v>
          </cell>
          <cell r="E35">
            <v>82</v>
          </cell>
        </row>
        <row r="36">
          <cell r="B36" t="str">
            <v>090</v>
          </cell>
          <cell r="C36" t="str">
            <v>Regional Office - Kathmandu B</v>
          </cell>
          <cell r="D36" t="str">
            <v>SINAMANGAL BRANCH</v>
          </cell>
          <cell r="E36">
            <v>49</v>
          </cell>
        </row>
        <row r="37">
          <cell r="B37" t="str">
            <v>099</v>
          </cell>
          <cell r="C37" t="str">
            <v>Regional Office - Kathmandu B</v>
          </cell>
          <cell r="D37" t="str">
            <v>RATOPUL BRANCH</v>
          </cell>
          <cell r="E37">
            <v>102</v>
          </cell>
        </row>
        <row r="38">
          <cell r="B38" t="str">
            <v>100</v>
          </cell>
          <cell r="C38" t="str">
            <v>Regional Office - Kathmandu B</v>
          </cell>
          <cell r="D38" t="str">
            <v>JHAMSIKHEL BRANCH</v>
          </cell>
          <cell r="E38">
            <v>50</v>
          </cell>
        </row>
        <row r="39">
          <cell r="B39" t="str">
            <v>118</v>
          </cell>
          <cell r="C39" t="str">
            <v>Regional Office - Kathmandu B</v>
          </cell>
          <cell r="D39" t="str">
            <v>TIKATHALI BRANCH</v>
          </cell>
          <cell r="E39">
            <v>155</v>
          </cell>
        </row>
        <row r="40">
          <cell r="B40" t="str">
            <v>120</v>
          </cell>
          <cell r="C40" t="str">
            <v>Regional Office - Kathmandu B</v>
          </cell>
          <cell r="D40" t="str">
            <v>GOKARNA BRANCH</v>
          </cell>
          <cell r="E40">
            <v>147</v>
          </cell>
        </row>
        <row r="41">
          <cell r="B41" t="str">
            <v>003</v>
          </cell>
          <cell r="C41" t="str">
            <v>Regional Office-Bardibas</v>
          </cell>
          <cell r="D41" t="str">
            <v>BARDIBAS BRANCH</v>
          </cell>
          <cell r="E41">
            <v>43</v>
          </cell>
        </row>
        <row r="42">
          <cell r="B42" t="str">
            <v>008</v>
          </cell>
          <cell r="C42" t="str">
            <v>Regional Office-Bardibas</v>
          </cell>
          <cell r="D42" t="str">
            <v>CHANDRANIGAPUR BRANC</v>
          </cell>
          <cell r="E42">
            <v>168</v>
          </cell>
        </row>
        <row r="43">
          <cell r="B43" t="str">
            <v>012</v>
          </cell>
          <cell r="C43" t="str">
            <v>Regional Office-Bardibas</v>
          </cell>
          <cell r="D43" t="str">
            <v>BIRGUNJ BRANCH</v>
          </cell>
          <cell r="E43">
            <v>137</v>
          </cell>
        </row>
        <row r="44">
          <cell r="B44" t="str">
            <v>034</v>
          </cell>
          <cell r="C44" t="str">
            <v>Regional Office-Bardibas</v>
          </cell>
          <cell r="D44" t="str">
            <v>HETAUDA BRANCH</v>
          </cell>
          <cell r="E44">
            <v>98</v>
          </cell>
        </row>
        <row r="45">
          <cell r="B45" t="str">
            <v>058</v>
          </cell>
          <cell r="C45" t="str">
            <v>Regional Office-Bardibas</v>
          </cell>
          <cell r="D45" t="str">
            <v>JANAKPUR BRANCH</v>
          </cell>
          <cell r="E45">
            <v>74</v>
          </cell>
        </row>
        <row r="46">
          <cell r="B46" t="str">
            <v>069</v>
          </cell>
          <cell r="C46" t="str">
            <v>Regional Office-Bardibas</v>
          </cell>
          <cell r="D46" t="str">
            <v>HARIWON BRANCH</v>
          </cell>
          <cell r="E46">
            <v>69</v>
          </cell>
        </row>
        <row r="47">
          <cell r="B47" t="str">
            <v>070</v>
          </cell>
          <cell r="C47" t="str">
            <v>Regional Office-Bardibas</v>
          </cell>
          <cell r="D47" t="str">
            <v>SINDHULI BRANCH</v>
          </cell>
          <cell r="E47">
            <v>79</v>
          </cell>
        </row>
        <row r="48">
          <cell r="B48" t="str">
            <v>110</v>
          </cell>
          <cell r="C48" t="str">
            <v>Regional Office-Bardibas</v>
          </cell>
          <cell r="D48" t="str">
            <v>LAHAN BRANCH</v>
          </cell>
          <cell r="E48">
            <v>122</v>
          </cell>
        </row>
        <row r="49">
          <cell r="B49" t="str">
            <v>010</v>
          </cell>
          <cell r="C49" t="str">
            <v>Regional Office-Itahari</v>
          </cell>
          <cell r="D49" t="str">
            <v>PATHARI BRANCH</v>
          </cell>
          <cell r="E49">
            <v>89</v>
          </cell>
        </row>
        <row r="50">
          <cell r="B50" t="str">
            <v>014</v>
          </cell>
          <cell r="C50" t="str">
            <v>Regional Office-Itahari</v>
          </cell>
          <cell r="D50" t="str">
            <v>DIKTEL BRANCH</v>
          </cell>
          <cell r="E50">
            <v>90</v>
          </cell>
        </row>
        <row r="51">
          <cell r="B51" t="str">
            <v>016</v>
          </cell>
          <cell r="C51" t="str">
            <v>Regional Office-Itahari</v>
          </cell>
          <cell r="D51" t="str">
            <v>BIRATNAGAR BRANCH</v>
          </cell>
          <cell r="E51">
            <v>125</v>
          </cell>
        </row>
        <row r="52">
          <cell r="B52" t="str">
            <v>030</v>
          </cell>
          <cell r="C52" t="str">
            <v>Regional Office-Itahari</v>
          </cell>
          <cell r="D52" t="str">
            <v>JHUMKA BRANCH</v>
          </cell>
          <cell r="E52">
            <v>71</v>
          </cell>
        </row>
        <row r="53">
          <cell r="B53" t="str">
            <v>047</v>
          </cell>
          <cell r="C53" t="str">
            <v>Regional Office-Itahari</v>
          </cell>
          <cell r="D53" t="str">
            <v>DAMAK BRANCH</v>
          </cell>
          <cell r="E53">
            <v>112</v>
          </cell>
        </row>
        <row r="54">
          <cell r="B54" t="str">
            <v>054</v>
          </cell>
          <cell r="C54" t="str">
            <v>Regional Office-Itahari</v>
          </cell>
          <cell r="D54" t="str">
            <v>KHORSANE BRANCH</v>
          </cell>
          <cell r="E54">
            <v>119</v>
          </cell>
        </row>
        <row r="55">
          <cell r="B55" t="str">
            <v>055</v>
          </cell>
          <cell r="C55" t="str">
            <v>Regional Office-Itahari</v>
          </cell>
          <cell r="D55" t="str">
            <v>BIRTAMOD BRANCH</v>
          </cell>
          <cell r="E55">
            <v>52</v>
          </cell>
        </row>
        <row r="56">
          <cell r="B56" t="str">
            <v>075</v>
          </cell>
          <cell r="C56" t="str">
            <v>Regional Office-Itahari</v>
          </cell>
          <cell r="D56" t="str">
            <v>GAIGHAT BRANCH</v>
          </cell>
          <cell r="E56">
            <v>228</v>
          </cell>
        </row>
        <row r="57">
          <cell r="B57" t="str">
            <v>085</v>
          </cell>
          <cell r="C57" t="str">
            <v>Regional Office-Itahari</v>
          </cell>
          <cell r="D57" t="str">
            <v>DHARAN BRANCH</v>
          </cell>
          <cell r="E57">
            <v>224</v>
          </cell>
        </row>
        <row r="58">
          <cell r="B58" t="str">
            <v>102</v>
          </cell>
          <cell r="C58" t="str">
            <v>Regional Office-Itahari</v>
          </cell>
          <cell r="D58" t="str">
            <v>ITAHARI BRANCH</v>
          </cell>
          <cell r="E58">
            <v>89</v>
          </cell>
        </row>
        <row r="59">
          <cell r="B59" t="str">
            <v>111</v>
          </cell>
          <cell r="C59" t="str">
            <v>Regional Office-Itahari</v>
          </cell>
          <cell r="D59" t="str">
            <v>KATARI BRANCH</v>
          </cell>
          <cell r="E59">
            <v>119</v>
          </cell>
        </row>
        <row r="60">
          <cell r="B60" t="str">
            <v>019</v>
          </cell>
          <cell r="C60" t="str">
            <v>Regional Office-Kohalpur</v>
          </cell>
          <cell r="D60" t="str">
            <v>NEPALGUNJ BRANCH</v>
          </cell>
          <cell r="E60">
            <v>211</v>
          </cell>
        </row>
        <row r="61">
          <cell r="B61" t="str">
            <v>023</v>
          </cell>
          <cell r="C61" t="str">
            <v>Regional Office-Kohalpur</v>
          </cell>
          <cell r="D61" t="str">
            <v>KOHALPUR BRANCH</v>
          </cell>
          <cell r="E61">
            <v>261</v>
          </cell>
        </row>
        <row r="62">
          <cell r="B62" t="str">
            <v>031</v>
          </cell>
          <cell r="C62" t="str">
            <v>Regional Office-Kohalpur</v>
          </cell>
          <cell r="D62" t="str">
            <v>SURKHET BRANCH</v>
          </cell>
          <cell r="E62">
            <v>214</v>
          </cell>
        </row>
        <row r="63">
          <cell r="B63" t="str">
            <v>032</v>
          </cell>
          <cell r="C63" t="str">
            <v>Regional Office-Kohalpur</v>
          </cell>
          <cell r="D63" t="str">
            <v>GHORAHI BRANCH</v>
          </cell>
          <cell r="E63">
            <v>389</v>
          </cell>
        </row>
        <row r="64">
          <cell r="B64" t="str">
            <v>035</v>
          </cell>
          <cell r="C64" t="str">
            <v>Regional Office-Kohalpur</v>
          </cell>
          <cell r="D64" t="str">
            <v>MAURIGHAT BRANCH</v>
          </cell>
          <cell r="E64">
            <v>295</v>
          </cell>
        </row>
        <row r="65">
          <cell r="B65" t="str">
            <v>042</v>
          </cell>
          <cell r="C65" t="str">
            <v>Regional Office-Kohalpur</v>
          </cell>
          <cell r="D65" t="str">
            <v>TULSIPUR BRANCH</v>
          </cell>
          <cell r="E65">
            <v>181</v>
          </cell>
        </row>
        <row r="66">
          <cell r="B66" t="str">
            <v>073</v>
          </cell>
          <cell r="C66" t="str">
            <v>Regional Office-Kohalpur</v>
          </cell>
          <cell r="D66" t="str">
            <v>MAHENDRANAGAR BRANCH</v>
          </cell>
          <cell r="E66">
            <v>181</v>
          </cell>
        </row>
        <row r="67">
          <cell r="B67" t="str">
            <v>015</v>
          </cell>
          <cell r="C67" t="str">
            <v>Regional Office-Pokhara</v>
          </cell>
          <cell r="D67" t="str">
            <v>BHARATPUR BRANCH</v>
          </cell>
          <cell r="E67">
            <v>127</v>
          </cell>
        </row>
        <row r="68">
          <cell r="B68" t="str">
            <v>018</v>
          </cell>
          <cell r="C68" t="str">
            <v>Regional Office-Pokhara</v>
          </cell>
          <cell r="D68" t="str">
            <v>POKHARA BRANCH</v>
          </cell>
          <cell r="E68">
            <v>53</v>
          </cell>
        </row>
        <row r="69">
          <cell r="B69" t="str">
            <v>037</v>
          </cell>
          <cell r="C69" t="str">
            <v>Regional Office-Pokhara</v>
          </cell>
          <cell r="D69" t="str">
            <v>DEVGHAT BRANCH</v>
          </cell>
          <cell r="E69">
            <v>96</v>
          </cell>
        </row>
        <row r="70">
          <cell r="B70" t="str">
            <v>059</v>
          </cell>
          <cell r="C70" t="str">
            <v>Regional Office-Pokhara</v>
          </cell>
          <cell r="D70" t="str">
            <v>NARAYANGADH BRANCH</v>
          </cell>
          <cell r="E70">
            <v>89</v>
          </cell>
        </row>
        <row r="71">
          <cell r="B71" t="str">
            <v>067</v>
          </cell>
          <cell r="C71" t="str">
            <v>Regional Office-Pokhara</v>
          </cell>
          <cell r="D71" t="str">
            <v>ABUKHAIRENI BRANCH</v>
          </cell>
          <cell r="E71">
            <v>62</v>
          </cell>
        </row>
        <row r="72">
          <cell r="B72" t="str">
            <v>074</v>
          </cell>
          <cell r="C72" t="str">
            <v>Regional Office-Pokhara</v>
          </cell>
          <cell r="D72" t="str">
            <v>KAWASOTI BRANCH</v>
          </cell>
          <cell r="E72">
            <v>49</v>
          </cell>
        </row>
        <row r="73">
          <cell r="B73" t="str">
            <v>078</v>
          </cell>
          <cell r="C73" t="str">
            <v>Regional Office-Pokhara</v>
          </cell>
          <cell r="D73" t="str">
            <v>GHANDRUK BRANCH</v>
          </cell>
          <cell r="E73">
            <v>31</v>
          </cell>
        </row>
        <row r="74">
          <cell r="B74" t="str">
            <v>084</v>
          </cell>
          <cell r="C74" t="str">
            <v>Regional Office-Pokhara</v>
          </cell>
          <cell r="D74" t="str">
            <v>TALCHOWK BRANCH</v>
          </cell>
          <cell r="E74">
            <v>91</v>
          </cell>
        </row>
        <row r="75">
          <cell r="B75" t="str">
            <v>087</v>
          </cell>
          <cell r="C75" t="str">
            <v>Regional Office-Pokhara</v>
          </cell>
          <cell r="D75" t="str">
            <v>LAKESIDE BRANCH</v>
          </cell>
          <cell r="E75">
            <v>151</v>
          </cell>
        </row>
        <row r="76">
          <cell r="B76" t="str">
            <v>108</v>
          </cell>
          <cell r="C76" t="str">
            <v>Regional Office-Pokhara</v>
          </cell>
          <cell r="D76" t="str">
            <v>TANDI BRANCH</v>
          </cell>
          <cell r="E76">
            <v>51</v>
          </cell>
        </row>
        <row r="77">
          <cell r="E77">
            <v>9817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1AC64-528A-4A53-8D80-0138B5C78192}">
  <sheetPr>
    <pageSetUpPr fitToPage="1"/>
  </sheetPr>
  <dimension ref="A1:G90"/>
  <sheetViews>
    <sheetView tabSelected="1" topLeftCell="A17" zoomScaleNormal="100" workbookViewId="0">
      <selection activeCell="E102" sqref="E102"/>
    </sheetView>
  </sheetViews>
  <sheetFormatPr defaultColWidth="10.85546875" defaultRowHeight="15" x14ac:dyDescent="0.25"/>
  <cols>
    <col min="1" max="1" width="26.42578125" style="2" bestFit="1" customWidth="1"/>
    <col min="2" max="2" width="26.42578125" bestFit="1" customWidth="1"/>
    <col min="3" max="3" width="25.85546875" style="1" bestFit="1" customWidth="1"/>
    <col min="4" max="4" width="11.42578125" style="1" bestFit="1" customWidth="1"/>
    <col min="5" max="5" width="7.42578125" bestFit="1" customWidth="1"/>
    <col min="6" max="6" width="9.42578125" bestFit="1" customWidth="1"/>
    <col min="7" max="7" width="12.140625" bestFit="1" customWidth="1"/>
  </cols>
  <sheetData>
    <row r="1" spans="1:7" x14ac:dyDescent="0.25">
      <c r="A1" s="12" t="s">
        <v>164</v>
      </c>
      <c r="B1" s="12" t="s">
        <v>162</v>
      </c>
    </row>
    <row r="2" spans="1:7" x14ac:dyDescent="0.25">
      <c r="A2" s="4" t="s">
        <v>37</v>
      </c>
      <c r="B2" s="5">
        <v>230965</v>
      </c>
    </row>
    <row r="3" spans="1:7" x14ac:dyDescent="0.25">
      <c r="A3" s="4" t="s">
        <v>68</v>
      </c>
      <c r="B3" s="5">
        <v>206781</v>
      </c>
    </row>
    <row r="4" spans="1:7" x14ac:dyDescent="0.25">
      <c r="A4" s="4" t="s">
        <v>22</v>
      </c>
      <c r="B4" s="5">
        <v>110523</v>
      </c>
    </row>
    <row r="5" spans="1:7" x14ac:dyDescent="0.25">
      <c r="A5" s="4" t="s">
        <v>95</v>
      </c>
      <c r="B5" s="5">
        <v>103736</v>
      </c>
    </row>
    <row r="6" spans="1:7" x14ac:dyDescent="0.25">
      <c r="A6" s="4" t="s">
        <v>142</v>
      </c>
      <c r="B6" s="5">
        <v>79483</v>
      </c>
    </row>
    <row r="7" spans="1:7" x14ac:dyDescent="0.25">
      <c r="A7" s="4" t="s">
        <v>1</v>
      </c>
      <c r="B7" s="5">
        <v>70699</v>
      </c>
    </row>
    <row r="8" spans="1:7" x14ac:dyDescent="0.25">
      <c r="A8" s="4" t="s">
        <v>118</v>
      </c>
      <c r="B8" s="5">
        <v>60500</v>
      </c>
    </row>
    <row r="9" spans="1:7" x14ac:dyDescent="0.25">
      <c r="A9" s="4" t="s">
        <v>135</v>
      </c>
      <c r="B9" s="5">
        <v>31833</v>
      </c>
    </row>
    <row r="10" spans="1:7" x14ac:dyDescent="0.25">
      <c r="A10" s="4" t="s">
        <v>157</v>
      </c>
      <c r="B10" s="5">
        <v>23724</v>
      </c>
    </row>
    <row r="11" spans="1:7" x14ac:dyDescent="0.25">
      <c r="A11" s="17" t="s">
        <v>166</v>
      </c>
      <c r="B11" s="13">
        <f>SUM(B2:B10)</f>
        <v>918244</v>
      </c>
    </row>
    <row r="12" spans="1:7" x14ac:dyDescent="0.25">
      <c r="A12" s="16"/>
      <c r="B12" s="15"/>
    </row>
    <row r="14" spans="1:7" x14ac:dyDescent="0.25">
      <c r="A14" s="14" t="s">
        <v>165</v>
      </c>
      <c r="B14" s="12" t="s">
        <v>164</v>
      </c>
      <c r="C14" s="13" t="s">
        <v>163</v>
      </c>
      <c r="D14" s="13" t="s">
        <v>162</v>
      </c>
      <c r="E14" s="12" t="s">
        <v>161</v>
      </c>
      <c r="F14" s="12" t="s">
        <v>160</v>
      </c>
      <c r="G14" s="12" t="s">
        <v>159</v>
      </c>
    </row>
    <row r="15" spans="1:7" x14ac:dyDescent="0.25">
      <c r="A15" s="6" t="s">
        <v>158</v>
      </c>
      <c r="B15" s="4" t="s">
        <v>157</v>
      </c>
      <c r="C15" s="5" t="s">
        <v>156</v>
      </c>
      <c r="D15" s="5">
        <v>23724</v>
      </c>
      <c r="E15" s="4">
        <v>1</v>
      </c>
      <c r="F15" s="4">
        <f>IFERROR(VLOOKUP($A$15:$A$89,[1]DebitCard!$B$2:$E$121,4,0),0)</f>
        <v>311</v>
      </c>
      <c r="G15" s="3">
        <f t="shared" ref="G15:G46" si="0">D15/365</f>
        <v>64.9972602739726</v>
      </c>
    </row>
    <row r="16" spans="1:7" x14ac:dyDescent="0.25">
      <c r="A16" s="10" t="s">
        <v>155</v>
      </c>
      <c r="B16" s="8" t="s">
        <v>142</v>
      </c>
      <c r="C16" s="9" t="s">
        <v>154</v>
      </c>
      <c r="D16" s="9">
        <v>24292</v>
      </c>
      <c r="E16" s="8">
        <v>1</v>
      </c>
      <c r="F16" s="8">
        <f>IFERROR(VLOOKUP($A$15:$A$89,[1]DebitCard!$B$2:$E$121,4,0),0)</f>
        <v>474</v>
      </c>
      <c r="G16" s="7">
        <f t="shared" si="0"/>
        <v>66.553424657534251</v>
      </c>
    </row>
    <row r="17" spans="1:7" x14ac:dyDescent="0.25">
      <c r="A17" s="10" t="s">
        <v>153</v>
      </c>
      <c r="B17" s="8" t="s">
        <v>142</v>
      </c>
      <c r="C17" s="9" t="s">
        <v>152</v>
      </c>
      <c r="D17" s="9">
        <v>11957</v>
      </c>
      <c r="E17" s="8">
        <v>2</v>
      </c>
      <c r="F17" s="8">
        <f>IFERROR(VLOOKUP($A$15:$A$89,[1]DebitCard!$B$2:$E$121,4,0),0)</f>
        <v>144</v>
      </c>
      <c r="G17" s="7">
        <f t="shared" si="0"/>
        <v>32.758904109589039</v>
      </c>
    </row>
    <row r="18" spans="1:7" x14ac:dyDescent="0.25">
      <c r="A18" s="10" t="s">
        <v>151</v>
      </c>
      <c r="B18" s="8" t="s">
        <v>142</v>
      </c>
      <c r="C18" s="9" t="s">
        <v>150</v>
      </c>
      <c r="D18" s="9">
        <v>10084</v>
      </c>
      <c r="E18" s="8">
        <v>3</v>
      </c>
      <c r="F18" s="8">
        <f>IFERROR(VLOOKUP($A$15:$A$89,[1]DebitCard!$B$2:$E$121,4,0),0)</f>
        <v>119</v>
      </c>
      <c r="G18" s="7">
        <f t="shared" si="0"/>
        <v>27.627397260273973</v>
      </c>
    </row>
    <row r="19" spans="1:7" x14ac:dyDescent="0.25">
      <c r="A19" s="10" t="s">
        <v>149</v>
      </c>
      <c r="B19" s="8" t="s">
        <v>142</v>
      </c>
      <c r="C19" s="9" t="s">
        <v>148</v>
      </c>
      <c r="D19" s="9">
        <v>9376</v>
      </c>
      <c r="E19" s="8">
        <v>4</v>
      </c>
      <c r="F19" s="8">
        <f>IFERROR(VLOOKUP($A$15:$A$89,[1]DebitCard!$B$2:$E$121,4,0),0)</f>
        <v>138</v>
      </c>
      <c r="G19" s="7">
        <f t="shared" si="0"/>
        <v>25.687671232876713</v>
      </c>
    </row>
    <row r="20" spans="1:7" x14ac:dyDescent="0.25">
      <c r="A20" s="10" t="s">
        <v>147</v>
      </c>
      <c r="B20" s="8" t="s">
        <v>142</v>
      </c>
      <c r="C20" s="9" t="s">
        <v>146</v>
      </c>
      <c r="D20" s="9">
        <v>9362</v>
      </c>
      <c r="E20" s="8">
        <v>5</v>
      </c>
      <c r="F20" s="8">
        <f>IFERROR(VLOOKUP($A$15:$A$89,[1]DebitCard!$B$2:$E$121,4,0),0)</f>
        <v>191</v>
      </c>
      <c r="G20" s="7">
        <f t="shared" si="0"/>
        <v>25.649315068493152</v>
      </c>
    </row>
    <row r="21" spans="1:7" x14ac:dyDescent="0.25">
      <c r="A21" s="10" t="s">
        <v>145</v>
      </c>
      <c r="B21" s="8" t="s">
        <v>142</v>
      </c>
      <c r="C21" s="9" t="s">
        <v>144</v>
      </c>
      <c r="D21" s="9">
        <v>8817</v>
      </c>
      <c r="E21" s="8">
        <v>6</v>
      </c>
      <c r="F21" s="8">
        <f>IFERROR(VLOOKUP($A$15:$A$89,[1]DebitCard!$B$2:$E$121,4,0),0)</f>
        <v>118</v>
      </c>
      <c r="G21" s="7">
        <f t="shared" si="0"/>
        <v>24.156164383561645</v>
      </c>
    </row>
    <row r="22" spans="1:7" x14ac:dyDescent="0.25">
      <c r="A22" s="10" t="s">
        <v>143</v>
      </c>
      <c r="B22" s="8" t="s">
        <v>142</v>
      </c>
      <c r="C22" s="9" t="s">
        <v>141</v>
      </c>
      <c r="D22" s="9">
        <v>5595</v>
      </c>
      <c r="E22" s="8">
        <v>7</v>
      </c>
      <c r="F22" s="8">
        <f>IFERROR(VLOOKUP($A$15:$A$89,[1]DebitCard!$B$2:$E$121,4,0),0)</f>
        <v>87</v>
      </c>
      <c r="G22" s="7">
        <f t="shared" si="0"/>
        <v>15.328767123287671</v>
      </c>
    </row>
    <row r="23" spans="1:7" x14ac:dyDescent="0.25">
      <c r="A23" s="6" t="s">
        <v>140</v>
      </c>
      <c r="B23" s="4" t="s">
        <v>135</v>
      </c>
      <c r="C23" s="5" t="s">
        <v>139</v>
      </c>
      <c r="D23" s="5">
        <v>14433</v>
      </c>
      <c r="E23" s="4">
        <v>1</v>
      </c>
      <c r="F23" s="4">
        <f>IFERROR(VLOOKUP($A$15:$A$89,[1]DebitCard!$B$2:$E$121,4,0),0)</f>
        <v>121</v>
      </c>
      <c r="G23" s="3">
        <f t="shared" si="0"/>
        <v>39.542465753424658</v>
      </c>
    </row>
    <row r="24" spans="1:7" x14ac:dyDescent="0.25">
      <c r="A24" s="6" t="s">
        <v>138</v>
      </c>
      <c r="B24" s="4" t="s">
        <v>135</v>
      </c>
      <c r="C24" s="5" t="s">
        <v>137</v>
      </c>
      <c r="D24" s="5">
        <v>11012</v>
      </c>
      <c r="E24" s="4">
        <v>2</v>
      </c>
      <c r="F24" s="4">
        <f>IFERROR(VLOOKUP($A$15:$A$89,[1]DebitCard!$B$2:$E$121,4,0),0)</f>
        <v>76</v>
      </c>
      <c r="G24" s="3">
        <f t="shared" si="0"/>
        <v>30.169863013698631</v>
      </c>
    </row>
    <row r="25" spans="1:7" x14ac:dyDescent="0.25">
      <c r="A25" s="6" t="s">
        <v>136</v>
      </c>
      <c r="B25" s="4" t="s">
        <v>135</v>
      </c>
      <c r="C25" s="5" t="s">
        <v>134</v>
      </c>
      <c r="D25" s="5">
        <v>6388</v>
      </c>
      <c r="E25" s="4">
        <v>3</v>
      </c>
      <c r="F25" s="4">
        <f>IFERROR(VLOOKUP($A$15:$A$89,[1]DebitCard!$B$2:$E$121,4,0),0)</f>
        <v>86</v>
      </c>
      <c r="G25" s="3">
        <f t="shared" si="0"/>
        <v>17.5013698630137</v>
      </c>
    </row>
    <row r="26" spans="1:7" x14ac:dyDescent="0.25">
      <c r="A26" s="10" t="s">
        <v>133</v>
      </c>
      <c r="B26" s="8" t="s">
        <v>118</v>
      </c>
      <c r="C26" s="9" t="s">
        <v>132</v>
      </c>
      <c r="D26" s="9">
        <v>16297</v>
      </c>
      <c r="E26" s="8">
        <v>1</v>
      </c>
      <c r="F26" s="8">
        <f>IFERROR(VLOOKUP($A$15:$A$89,[1]DebitCard!$B$2:$E$121,4,0),0)</f>
        <v>98</v>
      </c>
      <c r="G26" s="7">
        <f t="shared" si="0"/>
        <v>44.649315068493152</v>
      </c>
    </row>
    <row r="27" spans="1:7" x14ac:dyDescent="0.25">
      <c r="A27" s="10" t="s">
        <v>131</v>
      </c>
      <c r="B27" s="8" t="s">
        <v>118</v>
      </c>
      <c r="C27" s="9" t="s">
        <v>130</v>
      </c>
      <c r="D27" s="9">
        <v>13682</v>
      </c>
      <c r="E27" s="8">
        <v>2</v>
      </c>
      <c r="F27" s="8">
        <f>IFERROR(VLOOKUP($A$15:$A$89,[1]DebitCard!$B$2:$E$121,4,0),0)</f>
        <v>137</v>
      </c>
      <c r="G27" s="7">
        <f t="shared" si="0"/>
        <v>37.484931506849314</v>
      </c>
    </row>
    <row r="28" spans="1:7" x14ac:dyDescent="0.25">
      <c r="A28" s="10" t="s">
        <v>129</v>
      </c>
      <c r="B28" s="8" t="s">
        <v>118</v>
      </c>
      <c r="C28" s="9" t="s">
        <v>128</v>
      </c>
      <c r="D28" s="9">
        <v>6845</v>
      </c>
      <c r="E28" s="8">
        <v>3</v>
      </c>
      <c r="F28" s="8">
        <f>IFERROR(VLOOKUP($A$15:$A$89,[1]DebitCard!$B$2:$E$121,4,0),0)</f>
        <v>74</v>
      </c>
      <c r="G28" s="7">
        <f t="shared" si="0"/>
        <v>18.753424657534246</v>
      </c>
    </row>
    <row r="29" spans="1:7" x14ac:dyDescent="0.25">
      <c r="A29" s="10" t="s">
        <v>127</v>
      </c>
      <c r="B29" s="8" t="s">
        <v>118</v>
      </c>
      <c r="C29" s="9" t="s">
        <v>126</v>
      </c>
      <c r="D29" s="9">
        <v>6519</v>
      </c>
      <c r="E29" s="8">
        <v>4</v>
      </c>
      <c r="F29" s="8">
        <f>IFERROR(VLOOKUP($A$15:$A$89,[1]DebitCard!$B$2:$E$121,4,0),0)</f>
        <v>122</v>
      </c>
      <c r="G29" s="7">
        <f t="shared" si="0"/>
        <v>17.860273972602741</v>
      </c>
    </row>
    <row r="30" spans="1:7" x14ac:dyDescent="0.25">
      <c r="A30" s="10" t="s">
        <v>125</v>
      </c>
      <c r="B30" s="8" t="s">
        <v>118</v>
      </c>
      <c r="C30" s="9" t="s">
        <v>124</v>
      </c>
      <c r="D30" s="9">
        <v>6453</v>
      </c>
      <c r="E30" s="8">
        <v>5</v>
      </c>
      <c r="F30" s="8">
        <f>IFERROR(VLOOKUP($A$15:$A$89,[1]DebitCard!$B$2:$E$121,4,0),0)</f>
        <v>79</v>
      </c>
      <c r="G30" s="7">
        <f t="shared" si="0"/>
        <v>17.67945205479452</v>
      </c>
    </row>
    <row r="31" spans="1:7" x14ac:dyDescent="0.25">
      <c r="A31" s="10" t="s">
        <v>123</v>
      </c>
      <c r="B31" s="8" t="s">
        <v>118</v>
      </c>
      <c r="C31" s="9" t="s">
        <v>122</v>
      </c>
      <c r="D31" s="9">
        <v>4459</v>
      </c>
      <c r="E31" s="8">
        <v>6</v>
      </c>
      <c r="F31" s="8">
        <f>IFERROR(VLOOKUP($A$15:$A$89,[1]DebitCard!$B$2:$E$121,4,0),0)</f>
        <v>168</v>
      </c>
      <c r="G31" s="7">
        <f t="shared" si="0"/>
        <v>12.216438356164383</v>
      </c>
    </row>
    <row r="32" spans="1:7" x14ac:dyDescent="0.25">
      <c r="A32" s="10" t="s">
        <v>121</v>
      </c>
      <c r="B32" s="8" t="s">
        <v>118</v>
      </c>
      <c r="C32" s="9" t="s">
        <v>120</v>
      </c>
      <c r="D32" s="9">
        <v>4348</v>
      </c>
      <c r="E32" s="8">
        <v>7</v>
      </c>
      <c r="F32" s="8">
        <f>IFERROR(VLOOKUP($A$15:$A$89,[1]DebitCard!$B$2:$E$121,4,0),0)</f>
        <v>69</v>
      </c>
      <c r="G32" s="7">
        <f t="shared" si="0"/>
        <v>11.912328767123288</v>
      </c>
    </row>
    <row r="33" spans="1:7" x14ac:dyDescent="0.25">
      <c r="A33" s="10" t="s">
        <v>119</v>
      </c>
      <c r="B33" s="8" t="s">
        <v>118</v>
      </c>
      <c r="C33" s="9" t="s">
        <v>117</v>
      </c>
      <c r="D33" s="9">
        <v>1897</v>
      </c>
      <c r="E33" s="8">
        <v>8</v>
      </c>
      <c r="F33" s="8">
        <f>IFERROR(VLOOKUP($A$15:$A$89,[1]DebitCard!$B$2:$E$121,4,0),0)</f>
        <v>43</v>
      </c>
      <c r="G33" s="7">
        <f t="shared" si="0"/>
        <v>5.1972602739726028</v>
      </c>
    </row>
    <row r="34" spans="1:7" x14ac:dyDescent="0.25">
      <c r="A34" s="6" t="s">
        <v>116</v>
      </c>
      <c r="B34" s="4" t="s">
        <v>95</v>
      </c>
      <c r="C34" s="5" t="s">
        <v>115</v>
      </c>
      <c r="D34" s="5">
        <v>18956</v>
      </c>
      <c r="E34" s="4">
        <v>1</v>
      </c>
      <c r="F34" s="4">
        <f>IFERROR(VLOOKUP($A$15:$A$89,[1]DebitCard!$B$2:$E$121,4,0),0)</f>
        <v>228</v>
      </c>
      <c r="G34" s="3">
        <f t="shared" si="0"/>
        <v>51.934246575342463</v>
      </c>
    </row>
    <row r="35" spans="1:7" x14ac:dyDescent="0.25">
      <c r="A35" s="6" t="s">
        <v>114</v>
      </c>
      <c r="B35" s="4" t="s">
        <v>95</v>
      </c>
      <c r="C35" s="5" t="s">
        <v>113</v>
      </c>
      <c r="D35" s="5">
        <v>12120</v>
      </c>
      <c r="E35" s="4">
        <v>2</v>
      </c>
      <c r="F35" s="4">
        <f>IFERROR(VLOOKUP($A$15:$A$89,[1]DebitCard!$B$2:$E$121,4,0),0)</f>
        <v>119</v>
      </c>
      <c r="G35" s="3">
        <f t="shared" si="0"/>
        <v>33.205479452054796</v>
      </c>
    </row>
    <row r="36" spans="1:7" x14ac:dyDescent="0.25">
      <c r="A36" s="6" t="s">
        <v>112</v>
      </c>
      <c r="B36" s="4" t="s">
        <v>95</v>
      </c>
      <c r="C36" s="5" t="s">
        <v>111</v>
      </c>
      <c r="D36" s="5">
        <v>11851</v>
      </c>
      <c r="E36" s="4">
        <v>3</v>
      </c>
      <c r="F36" s="4">
        <f>IFERROR(VLOOKUP($A$15:$A$89,[1]DebitCard!$B$2:$E$121,4,0),0)</f>
        <v>119</v>
      </c>
      <c r="G36" s="3">
        <f t="shared" si="0"/>
        <v>32.468493150684928</v>
      </c>
    </row>
    <row r="37" spans="1:7" x14ac:dyDescent="0.25">
      <c r="A37" s="6" t="s">
        <v>110</v>
      </c>
      <c r="B37" s="4" t="s">
        <v>95</v>
      </c>
      <c r="C37" s="5" t="s">
        <v>109</v>
      </c>
      <c r="D37" s="5">
        <v>9920</v>
      </c>
      <c r="E37" s="4">
        <v>4</v>
      </c>
      <c r="F37" s="4">
        <f>IFERROR(VLOOKUP($A$15:$A$89,[1]DebitCard!$B$2:$E$121,4,0),0)</f>
        <v>90</v>
      </c>
      <c r="G37" s="3">
        <f t="shared" si="0"/>
        <v>27.17808219178082</v>
      </c>
    </row>
    <row r="38" spans="1:7" x14ac:dyDescent="0.25">
      <c r="A38" s="6" t="s">
        <v>108</v>
      </c>
      <c r="B38" s="4" t="s">
        <v>95</v>
      </c>
      <c r="C38" s="5" t="s">
        <v>107</v>
      </c>
      <c r="D38" s="5">
        <v>9598</v>
      </c>
      <c r="E38" s="4">
        <v>5</v>
      </c>
      <c r="F38" s="4">
        <f>IFERROR(VLOOKUP($A$15:$A$89,[1]DebitCard!$B$2:$E$121,4,0),0)</f>
        <v>89</v>
      </c>
      <c r="G38" s="3">
        <f t="shared" si="0"/>
        <v>26.295890410958904</v>
      </c>
    </row>
    <row r="39" spans="1:7" x14ac:dyDescent="0.25">
      <c r="A39" s="6" t="s">
        <v>106</v>
      </c>
      <c r="B39" s="4" t="s">
        <v>95</v>
      </c>
      <c r="C39" s="5" t="s">
        <v>105</v>
      </c>
      <c r="D39" s="5">
        <v>9467</v>
      </c>
      <c r="E39" s="4">
        <v>6</v>
      </c>
      <c r="F39" s="4">
        <f>IFERROR(VLOOKUP($A$15:$A$89,[1]DebitCard!$B$2:$E$121,4,0),0)</f>
        <v>71</v>
      </c>
      <c r="G39" s="3">
        <f t="shared" si="0"/>
        <v>25.936986301369863</v>
      </c>
    </row>
    <row r="40" spans="1:7" x14ac:dyDescent="0.25">
      <c r="A40" s="6" t="s">
        <v>104</v>
      </c>
      <c r="B40" s="4" t="s">
        <v>95</v>
      </c>
      <c r="C40" s="5" t="s">
        <v>103</v>
      </c>
      <c r="D40" s="5">
        <v>8127</v>
      </c>
      <c r="E40" s="4">
        <v>7</v>
      </c>
      <c r="F40" s="4">
        <f>IFERROR(VLOOKUP($A$15:$A$89,[1]DebitCard!$B$2:$E$121,4,0),0)</f>
        <v>224</v>
      </c>
      <c r="G40" s="3">
        <f t="shared" si="0"/>
        <v>22.265753424657536</v>
      </c>
    </row>
    <row r="41" spans="1:7" x14ac:dyDescent="0.25">
      <c r="A41" s="6" t="s">
        <v>102</v>
      </c>
      <c r="B41" s="4" t="s">
        <v>95</v>
      </c>
      <c r="C41" s="5" t="s">
        <v>101</v>
      </c>
      <c r="D41" s="5">
        <v>7921</v>
      </c>
      <c r="E41" s="4">
        <v>8</v>
      </c>
      <c r="F41" s="4">
        <f>IFERROR(VLOOKUP($A$15:$A$89,[1]DebitCard!$B$2:$E$121,4,0),0)</f>
        <v>89</v>
      </c>
      <c r="G41" s="3">
        <f t="shared" si="0"/>
        <v>21.701369863013699</v>
      </c>
    </row>
    <row r="42" spans="1:7" x14ac:dyDescent="0.25">
      <c r="A42" s="6" t="s">
        <v>100</v>
      </c>
      <c r="B42" s="4" t="s">
        <v>95</v>
      </c>
      <c r="C42" s="5" t="s">
        <v>99</v>
      </c>
      <c r="D42" s="5">
        <v>6076</v>
      </c>
      <c r="E42" s="4">
        <v>9</v>
      </c>
      <c r="F42" s="4">
        <f>IFERROR(VLOOKUP($A$15:$A$89,[1]DebitCard!$B$2:$E$121,4,0),0)</f>
        <v>52</v>
      </c>
      <c r="G42" s="3">
        <f t="shared" si="0"/>
        <v>16.646575342465752</v>
      </c>
    </row>
    <row r="43" spans="1:7" x14ac:dyDescent="0.25">
      <c r="A43" s="6" t="s">
        <v>98</v>
      </c>
      <c r="B43" s="4" t="s">
        <v>95</v>
      </c>
      <c r="C43" s="5" t="s">
        <v>97</v>
      </c>
      <c r="D43" s="5">
        <v>5558</v>
      </c>
      <c r="E43" s="4">
        <v>10</v>
      </c>
      <c r="F43" s="4">
        <f>IFERROR(VLOOKUP($A$15:$A$89,[1]DebitCard!$B$2:$E$121,4,0),0)</f>
        <v>125</v>
      </c>
      <c r="G43" s="3">
        <f t="shared" si="0"/>
        <v>15.227397260273973</v>
      </c>
    </row>
    <row r="44" spans="1:7" x14ac:dyDescent="0.25">
      <c r="A44" s="6" t="s">
        <v>96</v>
      </c>
      <c r="B44" s="4" t="s">
        <v>95</v>
      </c>
      <c r="C44" s="5" t="s">
        <v>94</v>
      </c>
      <c r="D44" s="5">
        <v>4142</v>
      </c>
      <c r="E44" s="4">
        <v>11</v>
      </c>
      <c r="F44" s="4">
        <f>IFERROR(VLOOKUP($A$15:$A$89,[1]DebitCard!$B$2:$E$121,4,0),0)</f>
        <v>112</v>
      </c>
      <c r="G44" s="3">
        <f t="shared" si="0"/>
        <v>11.347945205479451</v>
      </c>
    </row>
    <row r="45" spans="1:7" x14ac:dyDescent="0.25">
      <c r="A45" s="10" t="s">
        <v>93</v>
      </c>
      <c r="B45" s="8" t="s">
        <v>68</v>
      </c>
      <c r="C45" s="9" t="s">
        <v>92</v>
      </c>
      <c r="D45" s="9">
        <v>29794</v>
      </c>
      <c r="E45" s="8">
        <v>1</v>
      </c>
      <c r="F45" s="8">
        <f>IFERROR(VLOOKUP($A$15:$A$89,[1]DebitCard!$B$2:$E$121,4,0),0)</f>
        <v>182</v>
      </c>
      <c r="G45" s="7">
        <f t="shared" si="0"/>
        <v>81.627397260273966</v>
      </c>
    </row>
    <row r="46" spans="1:7" x14ac:dyDescent="0.25">
      <c r="A46" s="10" t="s">
        <v>91</v>
      </c>
      <c r="B46" s="8" t="s">
        <v>68</v>
      </c>
      <c r="C46" s="9" t="s">
        <v>90</v>
      </c>
      <c r="D46" s="9">
        <v>29624</v>
      </c>
      <c r="E46" s="8">
        <v>2</v>
      </c>
      <c r="F46" s="8">
        <f>IFERROR(VLOOKUP($A$15:$A$89,[1]DebitCard!$B$2:$E$121,4,0),0)</f>
        <v>89</v>
      </c>
      <c r="G46" s="7">
        <f t="shared" si="0"/>
        <v>81.161643835616445</v>
      </c>
    </row>
    <row r="47" spans="1:7" x14ac:dyDescent="0.25">
      <c r="A47" s="10" t="s">
        <v>89</v>
      </c>
      <c r="B47" s="8" t="s">
        <v>68</v>
      </c>
      <c r="C47" s="9" t="s">
        <v>88</v>
      </c>
      <c r="D47" s="9">
        <v>27655</v>
      </c>
      <c r="E47" s="8">
        <v>3</v>
      </c>
      <c r="F47" s="8">
        <f>IFERROR(VLOOKUP($A$15:$A$89,[1]DebitCard!$B$2:$E$121,4,0),0)</f>
        <v>152</v>
      </c>
      <c r="G47" s="7">
        <f t="shared" ref="G47:G78" si="1">D47/365</f>
        <v>75.767123287671239</v>
      </c>
    </row>
    <row r="48" spans="1:7" x14ac:dyDescent="0.25">
      <c r="A48" s="10" t="s">
        <v>87</v>
      </c>
      <c r="B48" s="8" t="s">
        <v>68</v>
      </c>
      <c r="C48" s="9" t="s">
        <v>86</v>
      </c>
      <c r="D48" s="9">
        <v>27518</v>
      </c>
      <c r="E48" s="8">
        <v>4</v>
      </c>
      <c r="F48" s="8">
        <f>IFERROR(VLOOKUP($A$15:$A$89,[1]DebitCard!$B$2:$E$121,4,0),0)</f>
        <v>137</v>
      </c>
      <c r="G48" s="7">
        <f t="shared" si="1"/>
        <v>75.391780821917806</v>
      </c>
    </row>
    <row r="49" spans="1:7" x14ac:dyDescent="0.25">
      <c r="A49" s="10" t="s">
        <v>85</v>
      </c>
      <c r="B49" s="8" t="s">
        <v>68</v>
      </c>
      <c r="C49" s="9" t="s">
        <v>84</v>
      </c>
      <c r="D49" s="9">
        <v>18910</v>
      </c>
      <c r="E49" s="8">
        <v>5</v>
      </c>
      <c r="F49" s="8">
        <f>IFERROR(VLOOKUP($A$15:$A$89,[1]DebitCard!$B$2:$E$121,4,0),0)</f>
        <v>302</v>
      </c>
      <c r="G49" s="7">
        <f t="shared" si="1"/>
        <v>51.80821917808219</v>
      </c>
    </row>
    <row r="50" spans="1:7" x14ac:dyDescent="0.25">
      <c r="A50" s="10" t="s">
        <v>83</v>
      </c>
      <c r="B50" s="8" t="s">
        <v>68</v>
      </c>
      <c r="C50" s="9" t="s">
        <v>82</v>
      </c>
      <c r="D50" s="9">
        <v>18568</v>
      </c>
      <c r="E50" s="8">
        <v>6</v>
      </c>
      <c r="F50" s="8">
        <f>IFERROR(VLOOKUP($A$15:$A$89,[1]DebitCard!$B$2:$E$121,4,0),0)</f>
        <v>263</v>
      </c>
      <c r="G50" s="7">
        <f t="shared" si="1"/>
        <v>50.871232876712327</v>
      </c>
    </row>
    <row r="51" spans="1:7" x14ac:dyDescent="0.25">
      <c r="A51" s="10" t="s">
        <v>81</v>
      </c>
      <c r="B51" s="8" t="s">
        <v>68</v>
      </c>
      <c r="C51" s="9" t="s">
        <v>80</v>
      </c>
      <c r="D51" s="9">
        <v>16531</v>
      </c>
      <c r="E51" s="8">
        <v>7</v>
      </c>
      <c r="F51" s="8">
        <f>IFERROR(VLOOKUP($A$15:$A$89,[1]DebitCard!$B$2:$E$121,4,0),0)</f>
        <v>147</v>
      </c>
      <c r="G51" s="7">
        <f t="shared" si="1"/>
        <v>45.290410958904111</v>
      </c>
    </row>
    <row r="52" spans="1:7" x14ac:dyDescent="0.25">
      <c r="A52" s="10" t="s">
        <v>79</v>
      </c>
      <c r="B52" s="8" t="s">
        <v>68</v>
      </c>
      <c r="C52" s="9" t="s">
        <v>78</v>
      </c>
      <c r="D52" s="9">
        <v>12421</v>
      </c>
      <c r="E52" s="8">
        <v>8</v>
      </c>
      <c r="F52" s="8">
        <f>IFERROR(VLOOKUP($A$15:$A$89,[1]DebitCard!$B$2:$E$121,4,0),0)</f>
        <v>57</v>
      </c>
      <c r="G52" s="7">
        <f t="shared" si="1"/>
        <v>34.030136986301372</v>
      </c>
    </row>
    <row r="53" spans="1:7" x14ac:dyDescent="0.25">
      <c r="A53" s="10" t="s">
        <v>77</v>
      </c>
      <c r="B53" s="8" t="s">
        <v>68</v>
      </c>
      <c r="C53" s="9" t="s">
        <v>76</v>
      </c>
      <c r="D53" s="9">
        <v>11488</v>
      </c>
      <c r="E53" s="8">
        <v>9</v>
      </c>
      <c r="F53" s="8">
        <f>IFERROR(VLOOKUP($A$15:$A$89,[1]DebitCard!$B$2:$E$121,4,0),0)</f>
        <v>117</v>
      </c>
      <c r="G53" s="7">
        <f t="shared" si="1"/>
        <v>31.473972602739725</v>
      </c>
    </row>
    <row r="54" spans="1:7" x14ac:dyDescent="0.25">
      <c r="A54" s="10" t="s">
        <v>75</v>
      </c>
      <c r="B54" s="8" t="s">
        <v>68</v>
      </c>
      <c r="C54" s="9" t="s">
        <v>74</v>
      </c>
      <c r="D54" s="9">
        <v>5814</v>
      </c>
      <c r="E54" s="8">
        <v>10</v>
      </c>
      <c r="F54" s="8">
        <f>IFERROR(VLOOKUP($A$15:$A$89,[1]DebitCard!$B$2:$E$121,4,0),0)</f>
        <v>93</v>
      </c>
      <c r="G54" s="7">
        <f t="shared" si="1"/>
        <v>15.92876712328767</v>
      </c>
    </row>
    <row r="55" spans="1:7" x14ac:dyDescent="0.25">
      <c r="A55" s="10" t="s">
        <v>73</v>
      </c>
      <c r="B55" s="8" t="s">
        <v>68</v>
      </c>
      <c r="C55" s="9" t="s">
        <v>72</v>
      </c>
      <c r="D55" s="9">
        <v>5500</v>
      </c>
      <c r="E55" s="8">
        <v>11</v>
      </c>
      <c r="F55" s="8">
        <f>IFERROR(VLOOKUP($A$15:$A$89,[1]DebitCard!$B$2:$E$121,4,0),0)</f>
        <v>29</v>
      </c>
      <c r="G55" s="7">
        <f t="shared" si="1"/>
        <v>15.068493150684931</v>
      </c>
    </row>
    <row r="56" spans="1:7" x14ac:dyDescent="0.25">
      <c r="A56" s="10" t="s">
        <v>71</v>
      </c>
      <c r="B56" s="8" t="s">
        <v>68</v>
      </c>
      <c r="C56" s="9" t="s">
        <v>70</v>
      </c>
      <c r="D56" s="9">
        <v>2133</v>
      </c>
      <c r="E56" s="8">
        <v>12</v>
      </c>
      <c r="F56" s="8">
        <f>IFERROR(VLOOKUP($A$15:$A$89,[1]DebitCard!$B$2:$E$121,4,0),0)</f>
        <v>109</v>
      </c>
      <c r="G56" s="7">
        <f t="shared" si="1"/>
        <v>5.8438356164383558</v>
      </c>
    </row>
    <row r="57" spans="1:7" x14ac:dyDescent="0.25">
      <c r="A57" s="10" t="s">
        <v>69</v>
      </c>
      <c r="B57" s="8" t="s">
        <v>68</v>
      </c>
      <c r="C57" s="9" t="s">
        <v>67</v>
      </c>
      <c r="D57" s="9">
        <v>825</v>
      </c>
      <c r="E57" s="8">
        <v>13</v>
      </c>
      <c r="F57" s="8">
        <f>IFERROR(VLOOKUP($A$15:$A$89,[1]DebitCard!$B$2:$E$121,4,0),0)</f>
        <v>44</v>
      </c>
      <c r="G57" s="7">
        <f t="shared" si="1"/>
        <v>2.2602739726027399</v>
      </c>
    </row>
    <row r="58" spans="1:7" x14ac:dyDescent="0.25">
      <c r="A58" s="6" t="s">
        <v>66</v>
      </c>
      <c r="B58" s="4" t="s">
        <v>37</v>
      </c>
      <c r="C58" s="5" t="s">
        <v>65</v>
      </c>
      <c r="D58" s="5">
        <v>39021</v>
      </c>
      <c r="E58" s="4">
        <v>1</v>
      </c>
      <c r="F58" s="4">
        <f>IFERROR(VLOOKUP($A$15:$A$89,[1]DebitCard!$B$2:$E$121,4,0),0)</f>
        <v>155</v>
      </c>
      <c r="G58" s="3">
        <f t="shared" si="1"/>
        <v>106.9068493150685</v>
      </c>
    </row>
    <row r="59" spans="1:7" x14ac:dyDescent="0.25">
      <c r="A59" s="6" t="s">
        <v>64</v>
      </c>
      <c r="B59" s="4" t="s">
        <v>37</v>
      </c>
      <c r="C59" s="5" t="s">
        <v>63</v>
      </c>
      <c r="D59" s="5">
        <v>30833</v>
      </c>
      <c r="E59" s="4">
        <v>2</v>
      </c>
      <c r="F59" s="4">
        <f>IFERROR(VLOOKUP($A$15:$A$89,[1]DebitCard!$B$2:$E$121,4,0),0)</f>
        <v>102</v>
      </c>
      <c r="G59" s="3">
        <f t="shared" si="1"/>
        <v>84.473972602739721</v>
      </c>
    </row>
    <row r="60" spans="1:7" x14ac:dyDescent="0.25">
      <c r="A60" s="6" t="s">
        <v>62</v>
      </c>
      <c r="B60" s="4" t="s">
        <v>37</v>
      </c>
      <c r="C60" s="5" t="s">
        <v>61</v>
      </c>
      <c r="D60" s="5">
        <v>24763</v>
      </c>
      <c r="E60" s="4">
        <v>3</v>
      </c>
      <c r="F60" s="4">
        <f>IFERROR(VLOOKUP($A$15:$A$89,[1]DebitCard!$B$2:$E$121,4,0),0)</f>
        <v>147</v>
      </c>
      <c r="G60" s="3">
        <f t="shared" si="1"/>
        <v>67.843835616438355</v>
      </c>
    </row>
    <row r="61" spans="1:7" x14ac:dyDescent="0.25">
      <c r="A61" s="6" t="s">
        <v>60</v>
      </c>
      <c r="B61" s="4" t="s">
        <v>37</v>
      </c>
      <c r="C61" s="5" t="s">
        <v>59</v>
      </c>
      <c r="D61" s="5">
        <v>18921</v>
      </c>
      <c r="E61" s="4">
        <v>4</v>
      </c>
      <c r="F61" s="4">
        <f>IFERROR(VLOOKUP($A$15:$A$89,[1]DebitCard!$B$2:$E$121,4,0),0)</f>
        <v>142</v>
      </c>
      <c r="G61" s="3">
        <f t="shared" si="1"/>
        <v>51.838356164383562</v>
      </c>
    </row>
    <row r="62" spans="1:7" x14ac:dyDescent="0.25">
      <c r="A62" s="6" t="s">
        <v>58</v>
      </c>
      <c r="B62" s="4" t="s">
        <v>37</v>
      </c>
      <c r="C62" s="5" t="s">
        <v>57</v>
      </c>
      <c r="D62" s="5">
        <v>16538</v>
      </c>
      <c r="E62" s="4">
        <v>5</v>
      </c>
      <c r="F62" s="4">
        <f>IFERROR(VLOOKUP($A$15:$A$89,[1]DebitCard!$B$2:$E$121,4,0),0)</f>
        <v>49</v>
      </c>
      <c r="G62" s="3">
        <f t="shared" si="1"/>
        <v>45.30958904109589</v>
      </c>
    </row>
    <row r="63" spans="1:7" x14ac:dyDescent="0.25">
      <c r="A63" s="6" t="s">
        <v>56</v>
      </c>
      <c r="B63" s="4" t="s">
        <v>37</v>
      </c>
      <c r="C63" s="11" t="s">
        <v>55</v>
      </c>
      <c r="D63" s="11">
        <v>15552</v>
      </c>
      <c r="E63" s="4">
        <v>6</v>
      </c>
      <c r="F63" s="4">
        <f>IFERROR(VLOOKUP($A$15:$A$89,[1]DebitCard!$B$2:$E$121,4,0),0)</f>
        <v>160</v>
      </c>
      <c r="G63" s="3">
        <f t="shared" si="1"/>
        <v>42.608219178082194</v>
      </c>
    </row>
    <row r="64" spans="1:7" x14ac:dyDescent="0.25">
      <c r="A64" s="6" t="s">
        <v>54</v>
      </c>
      <c r="B64" s="4" t="s">
        <v>37</v>
      </c>
      <c r="C64" s="5" t="s">
        <v>53</v>
      </c>
      <c r="D64" s="5">
        <v>13468</v>
      </c>
      <c r="E64" s="4">
        <v>7</v>
      </c>
      <c r="F64" s="4">
        <f>IFERROR(VLOOKUP($A$15:$A$89,[1]DebitCard!$B$2:$E$121,4,0),0)</f>
        <v>90</v>
      </c>
      <c r="G64" s="3">
        <f t="shared" si="1"/>
        <v>36.898630136986299</v>
      </c>
    </row>
    <row r="65" spans="1:7" x14ac:dyDescent="0.25">
      <c r="A65" s="6" t="s">
        <v>52</v>
      </c>
      <c r="B65" s="4" t="s">
        <v>37</v>
      </c>
      <c r="C65" s="5" t="s">
        <v>51</v>
      </c>
      <c r="D65" s="5">
        <v>12736</v>
      </c>
      <c r="E65" s="4">
        <v>8</v>
      </c>
      <c r="F65" s="4">
        <f>IFERROR(VLOOKUP($A$15:$A$89,[1]DebitCard!$B$2:$E$121,4,0),0)</f>
        <v>119</v>
      </c>
      <c r="G65" s="3">
        <f t="shared" si="1"/>
        <v>34.893150684931506</v>
      </c>
    </row>
    <row r="66" spans="1:7" x14ac:dyDescent="0.25">
      <c r="A66" s="6" t="s">
        <v>50</v>
      </c>
      <c r="B66" s="4" t="s">
        <v>37</v>
      </c>
      <c r="C66" s="5" t="s">
        <v>49</v>
      </c>
      <c r="D66" s="5">
        <v>12492</v>
      </c>
      <c r="E66" s="4">
        <v>9</v>
      </c>
      <c r="F66" s="4">
        <f>IFERROR(VLOOKUP($A$15:$A$89,[1]DebitCard!$B$2:$E$121,4,0),0)</f>
        <v>165</v>
      </c>
      <c r="G66" s="3">
        <f t="shared" si="1"/>
        <v>34.224657534246575</v>
      </c>
    </row>
    <row r="67" spans="1:7" x14ac:dyDescent="0.25">
      <c r="A67" s="6" t="s">
        <v>48</v>
      </c>
      <c r="B67" s="4" t="s">
        <v>37</v>
      </c>
      <c r="C67" s="5" t="s">
        <v>47</v>
      </c>
      <c r="D67" s="5">
        <v>9919</v>
      </c>
      <c r="E67" s="4">
        <v>10</v>
      </c>
      <c r="F67" s="4">
        <f>IFERROR(VLOOKUP($A$15:$A$89,[1]DebitCard!$B$2:$E$121,4,0),0)</f>
        <v>108</v>
      </c>
      <c r="G67" s="3">
        <f t="shared" si="1"/>
        <v>27.175342465753424</v>
      </c>
    </row>
    <row r="68" spans="1:7" x14ac:dyDescent="0.25">
      <c r="A68" s="6" t="s">
        <v>46</v>
      </c>
      <c r="B68" s="4" t="s">
        <v>37</v>
      </c>
      <c r="C68" s="5" t="s">
        <v>45</v>
      </c>
      <c r="D68" s="5">
        <v>9739</v>
      </c>
      <c r="E68" s="4">
        <v>11</v>
      </c>
      <c r="F68" s="4">
        <f>IFERROR(VLOOKUP($A$15:$A$89,[1]DebitCard!$B$2:$E$121,4,0),0)</f>
        <v>82</v>
      </c>
      <c r="G68" s="3">
        <f t="shared" si="1"/>
        <v>26.682191780821917</v>
      </c>
    </row>
    <row r="69" spans="1:7" x14ac:dyDescent="0.25">
      <c r="A69" s="6" t="s">
        <v>44</v>
      </c>
      <c r="B69" s="4" t="s">
        <v>37</v>
      </c>
      <c r="C69" s="5" t="s">
        <v>43</v>
      </c>
      <c r="D69" s="5">
        <v>9493</v>
      </c>
      <c r="E69" s="4">
        <v>12</v>
      </c>
      <c r="F69" s="4">
        <f>IFERROR(VLOOKUP($A$15:$A$89,[1]DebitCard!$B$2:$E$121,4,0),0)</f>
        <v>133</v>
      </c>
      <c r="G69" s="3">
        <f t="shared" si="1"/>
        <v>26.008219178082193</v>
      </c>
    </row>
    <row r="70" spans="1:7" x14ac:dyDescent="0.25">
      <c r="A70" s="6" t="s">
        <v>42</v>
      </c>
      <c r="B70" s="4" t="s">
        <v>37</v>
      </c>
      <c r="C70" s="5" t="s">
        <v>41</v>
      </c>
      <c r="D70" s="5">
        <v>8562</v>
      </c>
      <c r="E70" s="4">
        <v>13</v>
      </c>
      <c r="F70" s="4">
        <f>IFERROR(VLOOKUP($A$15:$A$89,[1]DebitCard!$B$2:$E$121,4,0),0)</f>
        <v>51</v>
      </c>
      <c r="G70" s="3">
        <f t="shared" si="1"/>
        <v>23.457534246575342</v>
      </c>
    </row>
    <row r="71" spans="1:7" x14ac:dyDescent="0.25">
      <c r="A71" s="6" t="s">
        <v>40</v>
      </c>
      <c r="B71" s="4" t="s">
        <v>37</v>
      </c>
      <c r="C71" s="5" t="s">
        <v>39</v>
      </c>
      <c r="D71" s="5">
        <v>5614</v>
      </c>
      <c r="E71" s="4">
        <v>14</v>
      </c>
      <c r="F71" s="4">
        <f>IFERROR(VLOOKUP($A$15:$A$89,[1]DebitCard!$B$2:$E$121,4,0),0)</f>
        <v>50</v>
      </c>
      <c r="G71" s="3">
        <f t="shared" si="1"/>
        <v>15.38082191780822</v>
      </c>
    </row>
    <row r="72" spans="1:7" x14ac:dyDescent="0.25">
      <c r="A72" s="6" t="s">
        <v>38</v>
      </c>
      <c r="B72" s="4" t="s">
        <v>37</v>
      </c>
      <c r="C72" s="5" t="s">
        <v>36</v>
      </c>
      <c r="D72" s="5">
        <v>3314</v>
      </c>
      <c r="E72" s="4">
        <v>15</v>
      </c>
      <c r="F72" s="4">
        <f>IFERROR(VLOOKUP($A$15:$A$89,[1]DebitCard!$B$2:$E$121,4,0),0)</f>
        <v>38</v>
      </c>
      <c r="G72" s="3">
        <f t="shared" si="1"/>
        <v>9.0794520547945208</v>
      </c>
    </row>
    <row r="73" spans="1:7" x14ac:dyDescent="0.25">
      <c r="A73" s="10" t="s">
        <v>35</v>
      </c>
      <c r="B73" s="8" t="s">
        <v>22</v>
      </c>
      <c r="C73" s="9" t="s">
        <v>34</v>
      </c>
      <c r="D73" s="9">
        <v>23312</v>
      </c>
      <c r="E73" s="8">
        <v>1</v>
      </c>
      <c r="F73" s="8">
        <f>IFERROR(VLOOKUP($A$15:$A$89,[1]DebitCard!$B$2:$E$121,4,0),0)</f>
        <v>389</v>
      </c>
      <c r="G73" s="7">
        <f t="shared" si="1"/>
        <v>63.868493150684934</v>
      </c>
    </row>
    <row r="74" spans="1:7" x14ac:dyDescent="0.25">
      <c r="A74" s="10" t="s">
        <v>33</v>
      </c>
      <c r="B74" s="8" t="s">
        <v>22</v>
      </c>
      <c r="C74" s="9" t="s">
        <v>32</v>
      </c>
      <c r="D74" s="9">
        <v>21023</v>
      </c>
      <c r="E74" s="8">
        <v>2</v>
      </c>
      <c r="F74" s="8">
        <f>IFERROR(VLOOKUP($A$15:$A$89,[1]DebitCard!$B$2:$E$121,4,0),0)</f>
        <v>295</v>
      </c>
      <c r="G74" s="7">
        <f t="shared" si="1"/>
        <v>57.597260273972601</v>
      </c>
    </row>
    <row r="75" spans="1:7" x14ac:dyDescent="0.25">
      <c r="A75" s="10" t="s">
        <v>31</v>
      </c>
      <c r="B75" s="8" t="s">
        <v>22</v>
      </c>
      <c r="C75" s="9" t="s">
        <v>30</v>
      </c>
      <c r="D75" s="9">
        <v>17422</v>
      </c>
      <c r="E75" s="8">
        <v>3</v>
      </c>
      <c r="F75" s="8">
        <f>IFERROR(VLOOKUP($A$15:$A$89,[1]DebitCard!$B$2:$E$121,4,0),0)</f>
        <v>181</v>
      </c>
      <c r="G75" s="7">
        <f t="shared" si="1"/>
        <v>47.731506849315068</v>
      </c>
    </row>
    <row r="76" spans="1:7" x14ac:dyDescent="0.25">
      <c r="A76" s="10" t="s">
        <v>29</v>
      </c>
      <c r="B76" s="8" t="s">
        <v>22</v>
      </c>
      <c r="C76" s="9" t="s">
        <v>28</v>
      </c>
      <c r="D76" s="9">
        <v>14917</v>
      </c>
      <c r="E76" s="8">
        <v>4</v>
      </c>
      <c r="F76" s="8">
        <f>IFERROR(VLOOKUP($A$15:$A$89,[1]DebitCard!$B$2:$E$121,4,0),0)</f>
        <v>214</v>
      </c>
      <c r="G76" s="7">
        <f t="shared" si="1"/>
        <v>40.868493150684934</v>
      </c>
    </row>
    <row r="77" spans="1:7" x14ac:dyDescent="0.25">
      <c r="A77" s="10" t="s">
        <v>27</v>
      </c>
      <c r="B77" s="8" t="s">
        <v>22</v>
      </c>
      <c r="C77" s="9" t="s">
        <v>26</v>
      </c>
      <c r="D77" s="9">
        <v>12547</v>
      </c>
      <c r="E77" s="8">
        <v>5</v>
      </c>
      <c r="F77" s="8">
        <f>IFERROR(VLOOKUP($A$15:$A$89,[1]DebitCard!$B$2:$E$121,4,0),0)</f>
        <v>261</v>
      </c>
      <c r="G77" s="7">
        <f t="shared" si="1"/>
        <v>34.375342465753427</v>
      </c>
    </row>
    <row r="78" spans="1:7" x14ac:dyDescent="0.25">
      <c r="A78" s="10" t="s">
        <v>25</v>
      </c>
      <c r="B78" s="8" t="s">
        <v>22</v>
      </c>
      <c r="C78" s="9" t="s">
        <v>24</v>
      </c>
      <c r="D78" s="9">
        <v>11039</v>
      </c>
      <c r="E78" s="8">
        <v>6</v>
      </c>
      <c r="F78" s="8">
        <f>IFERROR(VLOOKUP($A$15:$A$89,[1]DebitCard!$B$2:$E$121,4,0),0)</f>
        <v>181</v>
      </c>
      <c r="G78" s="7">
        <f t="shared" si="1"/>
        <v>30.243835616438357</v>
      </c>
    </row>
    <row r="79" spans="1:7" x14ac:dyDescent="0.25">
      <c r="A79" s="10" t="s">
        <v>23</v>
      </c>
      <c r="B79" s="8" t="s">
        <v>22</v>
      </c>
      <c r="C79" s="9" t="s">
        <v>21</v>
      </c>
      <c r="D79" s="9">
        <v>10263</v>
      </c>
      <c r="E79" s="8">
        <v>7</v>
      </c>
      <c r="F79" s="8">
        <f>IFERROR(VLOOKUP($A$15:$A$89,[1]DebitCard!$B$2:$E$121,4,0),0)</f>
        <v>211</v>
      </c>
      <c r="G79" s="7">
        <f t="shared" ref="G79:G89" si="2">D79/365</f>
        <v>28.117808219178084</v>
      </c>
    </row>
    <row r="80" spans="1:7" x14ac:dyDescent="0.25">
      <c r="A80" s="6" t="s">
        <v>20</v>
      </c>
      <c r="B80" s="4" t="s">
        <v>1</v>
      </c>
      <c r="C80" s="5" t="s">
        <v>19</v>
      </c>
      <c r="D80" s="5">
        <v>11459</v>
      </c>
      <c r="E80" s="4">
        <v>1</v>
      </c>
      <c r="F80" s="4">
        <f>IFERROR(VLOOKUP($A$15:$A$89,[1]DebitCard!$B$2:$E$121,4,0),0)</f>
        <v>127</v>
      </c>
      <c r="G80" s="3">
        <f t="shared" si="2"/>
        <v>31.394520547945206</v>
      </c>
    </row>
    <row r="81" spans="1:7" x14ac:dyDescent="0.25">
      <c r="A81" s="6" t="s">
        <v>18</v>
      </c>
      <c r="B81" s="4" t="s">
        <v>1</v>
      </c>
      <c r="C81" s="5" t="s">
        <v>17</v>
      </c>
      <c r="D81" s="5">
        <v>9105</v>
      </c>
      <c r="E81" s="4">
        <v>2</v>
      </c>
      <c r="F81" s="4">
        <f>IFERROR(VLOOKUP($A$15:$A$89,[1]DebitCard!$B$2:$E$121,4,0),0)</f>
        <v>53</v>
      </c>
      <c r="G81" s="3">
        <f t="shared" si="2"/>
        <v>24.945205479452056</v>
      </c>
    </row>
    <row r="82" spans="1:7" x14ac:dyDescent="0.25">
      <c r="A82" s="6" t="s">
        <v>16</v>
      </c>
      <c r="B82" s="4" t="s">
        <v>1</v>
      </c>
      <c r="C82" s="5" t="s">
        <v>15</v>
      </c>
      <c r="D82" s="5">
        <v>8795</v>
      </c>
      <c r="E82" s="4">
        <v>3</v>
      </c>
      <c r="F82" s="4">
        <f>IFERROR(VLOOKUP($A$15:$A$89,[1]DebitCard!$B$2:$E$121,4,0),0)</f>
        <v>51</v>
      </c>
      <c r="G82" s="3">
        <f t="shared" si="2"/>
        <v>24.095890410958905</v>
      </c>
    </row>
    <row r="83" spans="1:7" x14ac:dyDescent="0.25">
      <c r="A83" s="6" t="s">
        <v>14</v>
      </c>
      <c r="B83" s="4" t="s">
        <v>1</v>
      </c>
      <c r="C83" s="5" t="s">
        <v>13</v>
      </c>
      <c r="D83" s="5">
        <v>8673</v>
      </c>
      <c r="E83" s="4">
        <v>4</v>
      </c>
      <c r="F83" s="4">
        <f>IFERROR(VLOOKUP($A$15:$A$89,[1]DebitCard!$B$2:$E$121,4,0),0)</f>
        <v>49</v>
      </c>
      <c r="G83" s="3">
        <f t="shared" si="2"/>
        <v>23.761643835616439</v>
      </c>
    </row>
    <row r="84" spans="1:7" x14ac:dyDescent="0.25">
      <c r="A84" s="6" t="s">
        <v>12</v>
      </c>
      <c r="B84" s="4" t="s">
        <v>1</v>
      </c>
      <c r="C84" s="5" t="s">
        <v>11</v>
      </c>
      <c r="D84" s="5">
        <v>7402</v>
      </c>
      <c r="E84" s="4">
        <v>5</v>
      </c>
      <c r="F84" s="4">
        <f>IFERROR(VLOOKUP($A$15:$A$89,[1]DebitCard!$B$2:$E$121,4,0),0)</f>
        <v>96</v>
      </c>
      <c r="G84" s="3">
        <f t="shared" si="2"/>
        <v>20.279452054794522</v>
      </c>
    </row>
    <row r="85" spans="1:7" x14ac:dyDescent="0.25">
      <c r="A85" s="6" t="s">
        <v>10</v>
      </c>
      <c r="B85" s="4" t="s">
        <v>1</v>
      </c>
      <c r="C85" s="5" t="s">
        <v>9</v>
      </c>
      <c r="D85" s="5">
        <v>6898</v>
      </c>
      <c r="E85" s="4">
        <v>6</v>
      </c>
      <c r="F85" s="4">
        <f>IFERROR(VLOOKUP($A$15:$A$89,[1]DebitCard!$B$2:$E$121,4,0),0)</f>
        <v>62</v>
      </c>
      <c r="G85" s="3">
        <f t="shared" si="2"/>
        <v>18.898630136986302</v>
      </c>
    </row>
    <row r="86" spans="1:7" x14ac:dyDescent="0.25">
      <c r="A86" s="6" t="s">
        <v>8</v>
      </c>
      <c r="B86" s="4" t="s">
        <v>1</v>
      </c>
      <c r="C86" s="5" t="s">
        <v>7</v>
      </c>
      <c r="D86" s="5">
        <v>6424</v>
      </c>
      <c r="E86" s="4">
        <v>7</v>
      </c>
      <c r="F86" s="4">
        <f>IFERROR(VLOOKUP($A$15:$A$89,[1]DebitCard!$B$2:$E$121,4,0),0)</f>
        <v>89</v>
      </c>
      <c r="G86" s="3">
        <f t="shared" si="2"/>
        <v>17.600000000000001</v>
      </c>
    </row>
    <row r="87" spans="1:7" x14ac:dyDescent="0.25">
      <c r="A87" s="6" t="s">
        <v>6</v>
      </c>
      <c r="B87" s="4" t="s">
        <v>1</v>
      </c>
      <c r="C87" s="5" t="s">
        <v>5</v>
      </c>
      <c r="D87" s="5">
        <v>4779</v>
      </c>
      <c r="E87" s="4">
        <v>8</v>
      </c>
      <c r="F87" s="4">
        <f>IFERROR(VLOOKUP($A$15:$A$89,[1]DebitCard!$B$2:$E$121,4,0),0)</f>
        <v>151</v>
      </c>
      <c r="G87" s="3">
        <f t="shared" si="2"/>
        <v>13.093150684931507</v>
      </c>
    </row>
    <row r="88" spans="1:7" x14ac:dyDescent="0.25">
      <c r="A88" s="6" t="s">
        <v>4</v>
      </c>
      <c r="B88" s="4" t="s">
        <v>1</v>
      </c>
      <c r="C88" s="5" t="s">
        <v>3</v>
      </c>
      <c r="D88" s="5">
        <v>4765</v>
      </c>
      <c r="E88" s="4">
        <v>9</v>
      </c>
      <c r="F88" s="4">
        <f>IFERROR(VLOOKUP($A$15:$A$89,[1]DebitCard!$B$2:$E$121,4,0),0)</f>
        <v>91</v>
      </c>
      <c r="G88" s="3">
        <f t="shared" si="2"/>
        <v>13.054794520547945</v>
      </c>
    </row>
    <row r="89" spans="1:7" x14ac:dyDescent="0.25">
      <c r="A89" s="6" t="s">
        <v>2</v>
      </c>
      <c r="B89" s="4" t="s">
        <v>1</v>
      </c>
      <c r="C89" s="5" t="s">
        <v>0</v>
      </c>
      <c r="D89" s="5">
        <v>2399</v>
      </c>
      <c r="E89" s="4">
        <v>10</v>
      </c>
      <c r="F89" s="4">
        <f>IFERROR(VLOOKUP($A$15:$A$89,[1]DebitCard!$B$2:$E$121,4,0),0)</f>
        <v>31</v>
      </c>
      <c r="G89" s="3">
        <f t="shared" si="2"/>
        <v>6.5726027397260278</v>
      </c>
    </row>
    <row r="90" spans="1:7" x14ac:dyDescent="0.25">
      <c r="D90" s="1">
        <f>SUM(D15:D89)</f>
        <v>918244</v>
      </c>
      <c r="F90">
        <f>SUM(F15:F89)</f>
        <v>9817</v>
      </c>
    </row>
  </sheetData>
  <pageMargins left="0.7" right="0.7" top="0.75" bottom="0.75" header="0.3" footer="0.3"/>
  <pageSetup paperSize="9" scale="73" fitToHeight="0" orientation="portrait" r:id="rId1"/>
  <headerFooter>
    <oddFooter>&amp;C_x000D_&amp;1#&amp;"Aptos"&amp;12&amp;K000000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 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Sharma</dc:creator>
  <cp:lastModifiedBy>Bishnu Bhandari</cp:lastModifiedBy>
  <dcterms:created xsi:type="dcterms:W3CDTF">2026-04-28T06:17:19Z</dcterms:created>
  <dcterms:modified xsi:type="dcterms:W3CDTF">2026-04-28T06:56:12Z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2026-04-28T06:52:55Z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311a02a0-383c-4148-9ca6-51070f87981b</vt:lpwstr>
  </property>
  <property fmtid="{D5CDD505-2E9C-101B-9397-08002B2CF9AE}" pid="8" name="MSIP_Label_cadedb8f-f6e8-473a-8eb6-5e84cba1f58e_ContentBits">
    <vt:lpwstr>2</vt:lpwstr>
  </property>
  <property fmtid="{D5CDD505-2E9C-101B-9397-08002B2CF9AE}" pid="9" name="MSIP_Label_cadedb8f-f6e8-473a-8eb6-5e84cba1f58e_Tag">
    <vt:lpwstr>10, 3, 0, 1</vt:lpwstr>
  </property>
</Properties>
</file>