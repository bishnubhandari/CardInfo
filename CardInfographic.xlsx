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ishna.sharma\Desktop\"/>
    </mc:Choice>
  </mc:AlternateContent>
  <xr:revisionPtr revIDLastSave="0" documentId="8_{37D633C5-D8A2-47CE-9040-312C28F5C588}" xr6:coauthVersionLast="47" xr6:coauthVersionMax="47" xr10:uidLastSave="{00000000-0000-0000-0000-000000000000}"/>
  <bookViews>
    <workbookView xWindow="-110" yWindow="-110" windowWidth="19420" windowHeight="10300" xr2:uid="{B1741429-E579-47C6-81C0-8BAA014CD556}"/>
  </bookViews>
  <sheets>
    <sheet name="Branch Wise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1" l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D89" i="1"/>
  <c r="F89" i="1"/>
</calcChain>
</file>

<file path=xl/sharedStrings.xml><?xml version="1.0" encoding="utf-8"?>
<sst xmlns="http://schemas.openxmlformats.org/spreadsheetml/2006/main" count="245" uniqueCount="168">
  <si>
    <t>GHANDRUK BRANCH</t>
  </si>
  <si>
    <t>Regional Office-Pokhara</t>
  </si>
  <si>
    <t>078</t>
  </si>
  <si>
    <t>TALCHOWK BRANCH</t>
  </si>
  <si>
    <t>084</t>
  </si>
  <si>
    <t>LAKESIDE BRANCH</t>
  </si>
  <si>
    <t>087</t>
  </si>
  <si>
    <t>NARAYANGADH BRANCH</t>
  </si>
  <si>
    <t>059</t>
  </si>
  <si>
    <t>ABUKHAIRENI BRANCH</t>
  </si>
  <si>
    <t>067</t>
  </si>
  <si>
    <t>DEVGHAT BRANCH</t>
  </si>
  <si>
    <t>037</t>
  </si>
  <si>
    <t>KAWASOTI BRANCH</t>
  </si>
  <si>
    <t>074</t>
  </si>
  <si>
    <t>TANDI BRANCH</t>
  </si>
  <si>
    <t>108</t>
  </si>
  <si>
    <t>POKHARA BRANCH</t>
  </si>
  <si>
    <t>018</t>
  </si>
  <si>
    <t>BHARATPUR BRANCH</t>
  </si>
  <si>
    <t>015</t>
  </si>
  <si>
    <t>NEPALGUNJ BRANCH</t>
  </si>
  <si>
    <t>Regional Office-Kohalpur</t>
  </si>
  <si>
    <t>019</t>
  </si>
  <si>
    <t>MAHENDRANAGAR BRANCH</t>
  </si>
  <si>
    <t>073</t>
  </si>
  <si>
    <t>KOHALPUR BRANCH</t>
  </si>
  <si>
    <t>023</t>
  </si>
  <si>
    <t>SURKHET BRANCH</t>
  </si>
  <si>
    <t>031</t>
  </si>
  <si>
    <t>TULSIPUR BRANCH</t>
  </si>
  <si>
    <t>042</t>
  </si>
  <si>
    <t>MAURIGHAT BRANCH</t>
  </si>
  <si>
    <t>035</t>
  </si>
  <si>
    <t>GHORAHI BRANCH</t>
  </si>
  <si>
    <t>032</t>
  </si>
  <si>
    <t>KOTESHWOR BRANCH</t>
  </si>
  <si>
    <t>Regional Office-Kathmandu B</t>
  </si>
  <si>
    <t>004</t>
  </si>
  <si>
    <t>JHAMSIKHEL BRANCH</t>
  </si>
  <si>
    <t>100</t>
  </si>
  <si>
    <t>PRAYAG POKHARI BRANC</t>
  </si>
  <si>
    <t>009</t>
  </si>
  <si>
    <t>CHYAMASINGH BRANCH</t>
  </si>
  <si>
    <t>013</t>
  </si>
  <si>
    <t>SANKHU BRANCH</t>
  </si>
  <si>
    <t>083</t>
  </si>
  <si>
    <t>BANESHWOR BRANCH</t>
  </si>
  <si>
    <t>021</t>
  </si>
  <si>
    <t>BODE BRANCH</t>
  </si>
  <si>
    <t>080</t>
  </si>
  <si>
    <t>JORPATI BRANCH</t>
  </si>
  <si>
    <t>005</t>
  </si>
  <si>
    <t>SARASWATINAGAR BRANCH</t>
  </si>
  <si>
    <t>011</t>
  </si>
  <si>
    <t>CHAPAGAUN BRANCH</t>
  </si>
  <si>
    <t>053</t>
  </si>
  <si>
    <t>SINAMANGAL BRANCH</t>
  </si>
  <si>
    <t>090</t>
  </si>
  <si>
    <t>PEPSICOLA BRANCH</t>
  </si>
  <si>
    <t>048</t>
  </si>
  <si>
    <t>GOKARNA BRANCH</t>
  </si>
  <si>
    <t>120</t>
  </si>
  <si>
    <t>RATOPUL BRANCH</t>
  </si>
  <si>
    <t>099</t>
  </si>
  <si>
    <t>TIKATHALI BRANCH</t>
  </si>
  <si>
    <t>118</t>
  </si>
  <si>
    <t>ASON BRANCH</t>
  </si>
  <si>
    <t>Regional Office-Kathmandu A</t>
  </si>
  <si>
    <t>007</t>
  </si>
  <si>
    <t>KALIMATI BRANCH</t>
  </si>
  <si>
    <t>050</t>
  </si>
  <si>
    <t>THAMEL BRANCH</t>
  </si>
  <si>
    <t>049</t>
  </si>
  <si>
    <t>MAHARAJGUNJ BRANCH</t>
  </si>
  <si>
    <t>088</t>
  </si>
  <si>
    <t>SITAPAILA BRANCH</t>
  </si>
  <si>
    <t>101</t>
  </si>
  <si>
    <t>NEWROAD BRANCH</t>
  </si>
  <si>
    <t>024</t>
  </si>
  <si>
    <t>TOKHA BRANCH</t>
  </si>
  <si>
    <t>052</t>
  </si>
  <si>
    <t>NEPALTAR BRANCH</t>
  </si>
  <si>
    <t>040</t>
  </si>
  <si>
    <t>GONGABU BRANCH</t>
  </si>
  <si>
    <t>089</t>
  </si>
  <si>
    <t>BALAJU BRANCH</t>
  </si>
  <si>
    <t>022</t>
  </si>
  <si>
    <t>KIRTIPUR BRANCH</t>
  </si>
  <si>
    <t>079</t>
  </si>
  <si>
    <t>PHUTUNG BRANCH</t>
  </si>
  <si>
    <t>105</t>
  </si>
  <si>
    <t>BALAMBU BRANCH</t>
  </si>
  <si>
    <t>081</t>
  </si>
  <si>
    <t>DAMAK BRANCH</t>
  </si>
  <si>
    <t>Regional Office-Itahari</t>
  </si>
  <si>
    <t>047</t>
  </si>
  <si>
    <t>BIRATNAGAR BRANCH</t>
  </si>
  <si>
    <t>016</t>
  </si>
  <si>
    <t>BIRTAMOD BRANCH</t>
  </si>
  <si>
    <t>055</t>
  </si>
  <si>
    <t>PATHARI BRANCH</t>
  </si>
  <si>
    <t>010</t>
  </si>
  <si>
    <t>DHARAN BRANCH</t>
  </si>
  <si>
    <t>085</t>
  </si>
  <si>
    <t>JHUMKA BRANCH</t>
  </si>
  <si>
    <t>030</t>
  </si>
  <si>
    <t>ITAHARI BRANCH</t>
  </si>
  <si>
    <t>102</t>
  </si>
  <si>
    <t>DIKTEL BRANCH</t>
  </si>
  <si>
    <t>014</t>
  </si>
  <si>
    <t>KHORSANE BRANCH</t>
  </si>
  <si>
    <t>054</t>
  </si>
  <si>
    <t>KATARI BRANCH</t>
  </si>
  <si>
    <t>111</t>
  </si>
  <si>
    <t>GAIGHAT BRANCH</t>
  </si>
  <si>
    <t>075</t>
  </si>
  <si>
    <t>BARDIBAS BRANCH</t>
  </si>
  <si>
    <t>Regional Office-Bardibas</t>
  </si>
  <si>
    <t>003</t>
  </si>
  <si>
    <t>HARIWON BRANCH</t>
  </si>
  <si>
    <t>069</t>
  </si>
  <si>
    <t>CHANDRANIGAPUR BRANC</t>
  </si>
  <si>
    <t>008</t>
  </si>
  <si>
    <t>SINDHULI BRANCH</t>
  </si>
  <si>
    <t>070</t>
  </si>
  <si>
    <t>LAHAN BRANCH</t>
  </si>
  <si>
    <t>110</t>
  </si>
  <si>
    <t>JANAKPUR BRANCH</t>
  </si>
  <si>
    <t>058</t>
  </si>
  <si>
    <t>BIRGUNJ BRANCH</t>
  </si>
  <si>
    <t>012</t>
  </si>
  <si>
    <t>HETAUDA BRANCH</t>
  </si>
  <si>
    <t>034</t>
  </si>
  <si>
    <t>BATTAR BRANCH</t>
  </si>
  <si>
    <t>Nuwakot Cluster Office -Battar</t>
  </si>
  <si>
    <t>091</t>
  </si>
  <si>
    <t>CHHAHARE BRANCH</t>
  </si>
  <si>
    <t>093</t>
  </si>
  <si>
    <t>RANIPAUWA BRANCH</t>
  </si>
  <si>
    <t>095</t>
  </si>
  <si>
    <t>BHAIRAHAWA BRANCH</t>
  </si>
  <si>
    <t>Butwal Cluster Office -Butwal</t>
  </si>
  <si>
    <t>071</t>
  </si>
  <si>
    <t>JEETPUR BRANCH</t>
  </si>
  <si>
    <t>072</t>
  </si>
  <si>
    <t>BHINGRI BRANCH</t>
  </si>
  <si>
    <t>026</t>
  </si>
  <si>
    <t>MURGIYA BRANCH</t>
  </si>
  <si>
    <t>107</t>
  </si>
  <si>
    <t>TANSEN BRANCH</t>
  </si>
  <si>
    <t>077</t>
  </si>
  <si>
    <t>BUTWAL BRANCH</t>
  </si>
  <si>
    <t>002</t>
  </si>
  <si>
    <t>BAGDULA BRANCH</t>
  </si>
  <si>
    <t>025</t>
  </si>
  <si>
    <t>MAIN BRANCH</t>
  </si>
  <si>
    <t>Banking Office</t>
  </si>
  <si>
    <t>001</t>
  </si>
  <si>
    <t>Daily Average</t>
  </si>
  <si>
    <t>Total CASA</t>
  </si>
  <si>
    <t>Total No of Card</t>
  </si>
  <si>
    <t>RankNo</t>
  </si>
  <si>
    <t>TotalCount</t>
  </si>
  <si>
    <t>BranchName</t>
  </si>
  <si>
    <t>RegionName</t>
  </si>
  <si>
    <t>BranchCode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</si>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</sst>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1" applyNumberFormat="1" applyFont="1"/>
    <xf numFmtId="49" fontId="0" fillId="0" borderId="0" xfId="0" applyNumberFormat="1"/>
    <xf numFmtId="164" fontId="0" fillId="0" borderId="1" xfId="0" applyNumberFormat="1" applyBorder="1"/>
    <xf numFmtId="0" fontId="0" fillId="0" borderId="1" xfId="0" applyBorder="1"/>
    <xf numFmtId="164" fontId="0" fillId="0" borderId="1" xfId="1" applyNumberFormat="1" applyFont="1" applyFill="1" applyBorder="1"/>
    <xf numFmtId="49" fontId="0" fillId="0" borderId="1" xfId="0" applyNumberFormat="1" applyBorder="1"/>
    <xf numFmtId="0" fontId="2" fillId="0" borderId="1" xfId="0" applyFont="1" applyBorder="1"/>
    <xf numFmtId="164" fontId="2" fillId="0" borderId="1" xfId="1" applyNumberFormat="1" applyFont="1" applyFill="1" applyBorder="1"/>
    <xf numFmtId="49" fontId="2" fillId="0" borderId="1" xfId="0" applyNumberFormat="1" applyFont="1" applyBorder="1"/>
    <xf numFmtId="164" fontId="2" fillId="0" borderId="1" xfId="1" applyNumberFormat="1" applyFont="1" applyBorder="1"/>
    <xf numFmtId="0" fontId="2" fillId="0" borderId="1" xfId="0" applyFont="1" applyBorder="1" applyAlignment="1">
      <alignment horizontal="right"/>
    </xf>
    <xf numFmtId="164" fontId="0" fillId="0" borderId="1" xfId="1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ransaction%20detail%20of%20AT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gion Wise"/>
      <sheetName val="DebitCard"/>
      <sheetName val="TotalCasa"/>
    </sheetNames>
    <sheetDataSet>
      <sheetData sheetId="0"/>
      <sheetData sheetId="1">
        <row r="2">
          <cell r="A2" t="str">
            <v>001</v>
          </cell>
          <cell r="B2">
            <v>5988</v>
          </cell>
        </row>
        <row r="3">
          <cell r="A3" t="str">
            <v>002</v>
          </cell>
          <cell r="B3">
            <v>2444</v>
          </cell>
        </row>
        <row r="4">
          <cell r="A4" t="str">
            <v>003</v>
          </cell>
          <cell r="B4">
            <v>1364</v>
          </cell>
        </row>
        <row r="5">
          <cell r="A5" t="str">
            <v>004</v>
          </cell>
          <cell r="B5">
            <v>1465</v>
          </cell>
        </row>
        <row r="6">
          <cell r="A6" t="str">
            <v>005</v>
          </cell>
          <cell r="B6">
            <v>2670</v>
          </cell>
        </row>
        <row r="7">
          <cell r="A7" t="str">
            <v>006</v>
          </cell>
          <cell r="B7">
            <v>1643</v>
          </cell>
        </row>
        <row r="8">
          <cell r="A8" t="str">
            <v>007</v>
          </cell>
          <cell r="B8">
            <v>1442</v>
          </cell>
        </row>
        <row r="9">
          <cell r="A9" t="str">
            <v>008</v>
          </cell>
          <cell r="B9">
            <v>1119</v>
          </cell>
        </row>
        <row r="10">
          <cell r="A10" t="str">
            <v>009</v>
          </cell>
          <cell r="B10">
            <v>1727</v>
          </cell>
        </row>
        <row r="11">
          <cell r="A11" t="str">
            <v>010</v>
          </cell>
          <cell r="B11">
            <v>1357</v>
          </cell>
        </row>
        <row r="12">
          <cell r="A12" t="str">
            <v>011</v>
          </cell>
          <cell r="B12">
            <v>1809</v>
          </cell>
        </row>
        <row r="13">
          <cell r="A13" t="str">
            <v>012</v>
          </cell>
          <cell r="B13">
            <v>2058</v>
          </cell>
        </row>
        <row r="14">
          <cell r="A14" t="str">
            <v>013</v>
          </cell>
          <cell r="B14">
            <v>1822</v>
          </cell>
        </row>
        <row r="15">
          <cell r="A15" t="str">
            <v>014</v>
          </cell>
          <cell r="B15">
            <v>1858</v>
          </cell>
        </row>
        <row r="16">
          <cell r="A16" t="str">
            <v>015</v>
          </cell>
          <cell r="B16">
            <v>2038</v>
          </cell>
        </row>
        <row r="17">
          <cell r="A17" t="str">
            <v>016</v>
          </cell>
          <cell r="B17">
            <v>1470</v>
          </cell>
        </row>
        <row r="18">
          <cell r="A18" t="str">
            <v>017</v>
          </cell>
          <cell r="B18">
            <v>1746</v>
          </cell>
        </row>
        <row r="19">
          <cell r="A19" t="str">
            <v>018</v>
          </cell>
          <cell r="B19">
            <v>2511</v>
          </cell>
        </row>
        <row r="20">
          <cell r="A20" t="str">
            <v>019</v>
          </cell>
          <cell r="B20">
            <v>3795</v>
          </cell>
        </row>
        <row r="21">
          <cell r="A21" t="str">
            <v>020</v>
          </cell>
          <cell r="B21">
            <v>1645</v>
          </cell>
        </row>
        <row r="22">
          <cell r="A22" t="str">
            <v>021</v>
          </cell>
          <cell r="B22">
            <v>1318</v>
          </cell>
        </row>
        <row r="23">
          <cell r="A23" t="str">
            <v>022</v>
          </cell>
          <cell r="B23">
            <v>2832</v>
          </cell>
        </row>
        <row r="24">
          <cell r="A24" t="str">
            <v>023</v>
          </cell>
          <cell r="B24">
            <v>3185</v>
          </cell>
        </row>
        <row r="25">
          <cell r="A25" t="str">
            <v>024</v>
          </cell>
          <cell r="B25">
            <v>1358</v>
          </cell>
        </row>
        <row r="26">
          <cell r="A26" t="str">
            <v>025</v>
          </cell>
          <cell r="B26">
            <v>3228</v>
          </cell>
        </row>
        <row r="27">
          <cell r="A27" t="str">
            <v>026</v>
          </cell>
          <cell r="B27">
            <v>2690</v>
          </cell>
        </row>
        <row r="28">
          <cell r="A28" t="str">
            <v>027</v>
          </cell>
          <cell r="B28">
            <v>728</v>
          </cell>
        </row>
        <row r="29">
          <cell r="A29" t="str">
            <v>028</v>
          </cell>
          <cell r="B29">
            <v>449</v>
          </cell>
        </row>
        <row r="30">
          <cell r="A30" t="str">
            <v>029</v>
          </cell>
          <cell r="B30">
            <v>862</v>
          </cell>
        </row>
        <row r="31">
          <cell r="A31" t="str">
            <v>030</v>
          </cell>
          <cell r="B31">
            <v>1153</v>
          </cell>
        </row>
        <row r="32">
          <cell r="A32" t="str">
            <v>031</v>
          </cell>
          <cell r="B32">
            <v>2073</v>
          </cell>
        </row>
        <row r="33">
          <cell r="A33" t="str">
            <v>032</v>
          </cell>
          <cell r="B33">
            <v>3829</v>
          </cell>
        </row>
        <row r="34">
          <cell r="A34" t="str">
            <v>033</v>
          </cell>
          <cell r="B34">
            <v>935</v>
          </cell>
        </row>
        <row r="35">
          <cell r="A35" t="str">
            <v>034</v>
          </cell>
          <cell r="B35">
            <v>2338</v>
          </cell>
        </row>
        <row r="36">
          <cell r="A36" t="str">
            <v>035</v>
          </cell>
          <cell r="B36">
            <v>2660</v>
          </cell>
        </row>
        <row r="37">
          <cell r="A37" t="str">
            <v>036</v>
          </cell>
          <cell r="B37">
            <v>1116</v>
          </cell>
        </row>
        <row r="38">
          <cell r="A38" t="str">
            <v>037</v>
          </cell>
          <cell r="B38">
            <v>2190</v>
          </cell>
        </row>
        <row r="39">
          <cell r="A39" t="str">
            <v>038</v>
          </cell>
          <cell r="B39">
            <v>834</v>
          </cell>
        </row>
        <row r="40">
          <cell r="A40" t="str">
            <v>039</v>
          </cell>
          <cell r="B40">
            <v>756</v>
          </cell>
        </row>
        <row r="41">
          <cell r="A41" t="str">
            <v>040</v>
          </cell>
          <cell r="B41">
            <v>3554</v>
          </cell>
        </row>
        <row r="42">
          <cell r="A42" t="str">
            <v>042</v>
          </cell>
          <cell r="B42">
            <v>3272</v>
          </cell>
        </row>
        <row r="43">
          <cell r="A43" t="str">
            <v>043</v>
          </cell>
          <cell r="B43">
            <v>1133</v>
          </cell>
        </row>
        <row r="44">
          <cell r="A44" t="str">
            <v>044</v>
          </cell>
          <cell r="B44">
            <v>1506</v>
          </cell>
        </row>
        <row r="45">
          <cell r="A45" t="str">
            <v>045</v>
          </cell>
          <cell r="B45">
            <v>1111</v>
          </cell>
        </row>
        <row r="46">
          <cell r="A46" t="str">
            <v>046</v>
          </cell>
          <cell r="B46">
            <v>1410</v>
          </cell>
        </row>
        <row r="47">
          <cell r="A47" t="str">
            <v>047</v>
          </cell>
          <cell r="B47">
            <v>1200</v>
          </cell>
        </row>
        <row r="48">
          <cell r="A48" t="str">
            <v>048</v>
          </cell>
          <cell r="B48">
            <v>2192</v>
          </cell>
        </row>
        <row r="49">
          <cell r="A49" t="str">
            <v>049</v>
          </cell>
          <cell r="B49">
            <v>1069</v>
          </cell>
        </row>
        <row r="50">
          <cell r="A50" t="str">
            <v>050</v>
          </cell>
          <cell r="B50">
            <v>2147</v>
          </cell>
        </row>
        <row r="51">
          <cell r="A51" t="str">
            <v>051</v>
          </cell>
          <cell r="B51">
            <v>1172</v>
          </cell>
        </row>
        <row r="52">
          <cell r="A52" t="str">
            <v>052</v>
          </cell>
          <cell r="B52">
            <v>3341</v>
          </cell>
        </row>
        <row r="53">
          <cell r="A53" t="str">
            <v>053</v>
          </cell>
          <cell r="B53">
            <v>2484</v>
          </cell>
        </row>
        <row r="54">
          <cell r="A54" t="str">
            <v>054</v>
          </cell>
          <cell r="B54">
            <v>1242</v>
          </cell>
        </row>
        <row r="55">
          <cell r="A55" t="str">
            <v>055</v>
          </cell>
          <cell r="B55">
            <v>1139</v>
          </cell>
        </row>
        <row r="56">
          <cell r="A56" t="str">
            <v>056</v>
          </cell>
          <cell r="B56">
            <v>626</v>
          </cell>
        </row>
        <row r="57">
          <cell r="A57" t="str">
            <v>058</v>
          </cell>
          <cell r="B57">
            <v>1591</v>
          </cell>
        </row>
        <row r="58">
          <cell r="A58" t="str">
            <v>059</v>
          </cell>
          <cell r="B58">
            <v>2299</v>
          </cell>
        </row>
        <row r="59">
          <cell r="A59" t="str">
            <v>060</v>
          </cell>
          <cell r="B59">
            <v>990</v>
          </cell>
        </row>
        <row r="60">
          <cell r="A60" t="str">
            <v>061</v>
          </cell>
          <cell r="B60">
            <v>398</v>
          </cell>
        </row>
        <row r="61">
          <cell r="A61" t="str">
            <v>062</v>
          </cell>
          <cell r="B61">
            <v>564</v>
          </cell>
        </row>
        <row r="62">
          <cell r="A62" t="str">
            <v>063</v>
          </cell>
          <cell r="B62">
            <v>771</v>
          </cell>
        </row>
        <row r="63">
          <cell r="A63" t="str">
            <v>064</v>
          </cell>
          <cell r="B63">
            <v>4117</v>
          </cell>
        </row>
        <row r="64">
          <cell r="A64" t="str">
            <v>065</v>
          </cell>
          <cell r="B64">
            <v>765</v>
          </cell>
        </row>
        <row r="65">
          <cell r="A65" t="str">
            <v>067</v>
          </cell>
          <cell r="B65">
            <v>797</v>
          </cell>
        </row>
        <row r="66">
          <cell r="A66" t="str">
            <v>068</v>
          </cell>
          <cell r="B66">
            <v>876</v>
          </cell>
        </row>
        <row r="67">
          <cell r="A67" t="str">
            <v>069</v>
          </cell>
          <cell r="B67">
            <v>1204</v>
          </cell>
        </row>
        <row r="68">
          <cell r="A68" t="str">
            <v>070</v>
          </cell>
          <cell r="B68">
            <v>1275</v>
          </cell>
        </row>
        <row r="69">
          <cell r="A69" t="str">
            <v>071</v>
          </cell>
          <cell r="B69">
            <v>2128</v>
          </cell>
        </row>
        <row r="70">
          <cell r="A70" t="str">
            <v>072</v>
          </cell>
          <cell r="B70">
            <v>1813</v>
          </cell>
        </row>
        <row r="71">
          <cell r="A71" t="str">
            <v>073</v>
          </cell>
          <cell r="B71">
            <v>2535</v>
          </cell>
        </row>
        <row r="72">
          <cell r="A72" t="str">
            <v>074</v>
          </cell>
          <cell r="B72">
            <v>1852</v>
          </cell>
        </row>
        <row r="73">
          <cell r="A73" t="str">
            <v>075</v>
          </cell>
          <cell r="B73">
            <v>2541</v>
          </cell>
        </row>
        <row r="74">
          <cell r="A74" t="str">
            <v>076</v>
          </cell>
          <cell r="B74">
            <v>1144</v>
          </cell>
        </row>
        <row r="75">
          <cell r="A75" t="str">
            <v>077</v>
          </cell>
          <cell r="B75">
            <v>1730</v>
          </cell>
        </row>
        <row r="76">
          <cell r="A76" t="str">
            <v>078</v>
          </cell>
          <cell r="B76">
            <v>817</v>
          </cell>
        </row>
        <row r="77">
          <cell r="A77" t="str">
            <v>079</v>
          </cell>
          <cell r="B77">
            <v>2805</v>
          </cell>
        </row>
        <row r="78">
          <cell r="A78" t="str">
            <v>080</v>
          </cell>
          <cell r="B78">
            <v>2347</v>
          </cell>
        </row>
        <row r="79">
          <cell r="A79" t="str">
            <v>081</v>
          </cell>
          <cell r="B79">
            <v>3119</v>
          </cell>
        </row>
        <row r="80">
          <cell r="A80" t="str">
            <v>082</v>
          </cell>
          <cell r="B80">
            <v>1429</v>
          </cell>
        </row>
        <row r="81">
          <cell r="A81" t="str">
            <v>083</v>
          </cell>
          <cell r="B81">
            <v>1357</v>
          </cell>
        </row>
        <row r="82">
          <cell r="A82" t="str">
            <v>084</v>
          </cell>
          <cell r="B82">
            <v>1838</v>
          </cell>
        </row>
        <row r="83">
          <cell r="A83" t="str">
            <v>085</v>
          </cell>
          <cell r="B83">
            <v>3076</v>
          </cell>
        </row>
        <row r="84">
          <cell r="A84" t="str">
            <v>086</v>
          </cell>
          <cell r="B84">
            <v>1656</v>
          </cell>
        </row>
        <row r="85">
          <cell r="A85" t="str">
            <v>087</v>
          </cell>
          <cell r="B85">
            <v>2102</v>
          </cell>
        </row>
        <row r="86">
          <cell r="A86" t="str">
            <v>088</v>
          </cell>
          <cell r="B86">
            <v>1942</v>
          </cell>
        </row>
        <row r="87">
          <cell r="A87" t="str">
            <v>089</v>
          </cell>
          <cell r="B87">
            <v>4586</v>
          </cell>
        </row>
        <row r="88">
          <cell r="A88" t="str">
            <v>090</v>
          </cell>
          <cell r="B88">
            <v>973</v>
          </cell>
        </row>
        <row r="89">
          <cell r="A89" t="str">
            <v>091</v>
          </cell>
          <cell r="B89">
            <v>1458</v>
          </cell>
        </row>
        <row r="90">
          <cell r="A90" t="str">
            <v>092</v>
          </cell>
          <cell r="B90">
            <v>1713</v>
          </cell>
        </row>
        <row r="91">
          <cell r="A91" t="str">
            <v>093</v>
          </cell>
          <cell r="B91">
            <v>1558</v>
          </cell>
        </row>
        <row r="92">
          <cell r="A92" t="str">
            <v>094</v>
          </cell>
          <cell r="B92">
            <v>578</v>
          </cell>
        </row>
        <row r="93">
          <cell r="A93" t="str">
            <v>095</v>
          </cell>
          <cell r="B93">
            <v>2288</v>
          </cell>
        </row>
        <row r="94">
          <cell r="A94" t="str">
            <v>096</v>
          </cell>
          <cell r="B94">
            <v>336</v>
          </cell>
        </row>
        <row r="95">
          <cell r="A95" t="str">
            <v>097</v>
          </cell>
          <cell r="B95">
            <v>554</v>
          </cell>
        </row>
        <row r="96">
          <cell r="A96" t="str">
            <v>098</v>
          </cell>
          <cell r="B96">
            <v>1257</v>
          </cell>
        </row>
        <row r="97">
          <cell r="A97" t="str">
            <v>099</v>
          </cell>
          <cell r="B97">
            <v>2149</v>
          </cell>
        </row>
        <row r="98">
          <cell r="A98" t="str">
            <v>100</v>
          </cell>
          <cell r="B98">
            <v>1477</v>
          </cell>
        </row>
        <row r="99">
          <cell r="A99" t="str">
            <v>101</v>
          </cell>
          <cell r="B99">
            <v>1370</v>
          </cell>
        </row>
        <row r="100">
          <cell r="A100" t="str">
            <v>102</v>
          </cell>
          <cell r="B100">
            <v>1240</v>
          </cell>
        </row>
        <row r="101">
          <cell r="A101" t="str">
            <v>103</v>
          </cell>
          <cell r="B101">
            <v>1191</v>
          </cell>
        </row>
        <row r="102">
          <cell r="A102" t="str">
            <v>104</v>
          </cell>
          <cell r="B102">
            <v>1388</v>
          </cell>
        </row>
        <row r="103">
          <cell r="A103" t="str">
            <v>105</v>
          </cell>
          <cell r="B103">
            <v>2376</v>
          </cell>
        </row>
        <row r="104">
          <cell r="A104" t="str">
            <v>106</v>
          </cell>
          <cell r="B104">
            <v>913</v>
          </cell>
        </row>
        <row r="105">
          <cell r="A105" t="str">
            <v>107</v>
          </cell>
          <cell r="B105">
            <v>1752</v>
          </cell>
        </row>
        <row r="106">
          <cell r="A106" t="str">
            <v>108</v>
          </cell>
          <cell r="B106">
            <v>3394</v>
          </cell>
        </row>
        <row r="107">
          <cell r="A107" t="str">
            <v>109</v>
          </cell>
          <cell r="B107">
            <v>923</v>
          </cell>
        </row>
        <row r="108">
          <cell r="A108" t="str">
            <v>110</v>
          </cell>
          <cell r="B108">
            <v>1514</v>
          </cell>
        </row>
        <row r="109">
          <cell r="A109" t="str">
            <v>111</v>
          </cell>
          <cell r="B109">
            <v>2254</v>
          </cell>
        </row>
        <row r="110">
          <cell r="A110" t="str">
            <v>112</v>
          </cell>
          <cell r="B110">
            <v>1589</v>
          </cell>
        </row>
        <row r="111">
          <cell r="A111" t="str">
            <v>113</v>
          </cell>
          <cell r="B111">
            <v>1508</v>
          </cell>
        </row>
        <row r="112">
          <cell r="A112" t="str">
            <v>114</v>
          </cell>
          <cell r="B112">
            <v>1558</v>
          </cell>
        </row>
        <row r="113">
          <cell r="A113" t="str">
            <v>116</v>
          </cell>
          <cell r="B113">
            <v>643</v>
          </cell>
        </row>
        <row r="114">
          <cell r="A114" t="str">
            <v>117</v>
          </cell>
          <cell r="B114">
            <v>679</v>
          </cell>
        </row>
        <row r="115">
          <cell r="A115" t="str">
            <v>118</v>
          </cell>
          <cell r="B115">
            <v>1893</v>
          </cell>
        </row>
        <row r="116">
          <cell r="A116" t="str">
            <v>119</v>
          </cell>
          <cell r="B116">
            <v>873</v>
          </cell>
        </row>
        <row r="117">
          <cell r="A117" t="str">
            <v>120</v>
          </cell>
          <cell r="B117">
            <v>1457</v>
          </cell>
        </row>
      </sheetData>
      <sheetData sheetId="2">
        <row r="2">
          <cell r="A2" t="str">
            <v>001</v>
          </cell>
          <cell r="B2">
            <v>18402</v>
          </cell>
        </row>
        <row r="3">
          <cell r="A3" t="str">
            <v>002</v>
          </cell>
          <cell r="B3">
            <v>9657</v>
          </cell>
        </row>
        <row r="4">
          <cell r="A4" t="str">
            <v>003</v>
          </cell>
          <cell r="B4">
            <v>9559</v>
          </cell>
        </row>
        <row r="5">
          <cell r="A5" t="str">
            <v>004</v>
          </cell>
          <cell r="B5">
            <v>7447</v>
          </cell>
        </row>
        <row r="6">
          <cell r="A6" t="str">
            <v>005</v>
          </cell>
          <cell r="B6">
            <v>13456</v>
          </cell>
        </row>
        <row r="7">
          <cell r="A7" t="str">
            <v>006</v>
          </cell>
          <cell r="B7">
            <v>9660</v>
          </cell>
        </row>
        <row r="8">
          <cell r="A8" t="str">
            <v>007</v>
          </cell>
          <cell r="B8">
            <v>9238</v>
          </cell>
        </row>
        <row r="9">
          <cell r="A9" t="str">
            <v>008</v>
          </cell>
          <cell r="B9">
            <v>12127</v>
          </cell>
        </row>
        <row r="10">
          <cell r="A10" t="str">
            <v>009</v>
          </cell>
          <cell r="B10">
            <v>6773</v>
          </cell>
        </row>
        <row r="11">
          <cell r="A11" t="str">
            <v>010</v>
          </cell>
          <cell r="B11">
            <v>10861</v>
          </cell>
        </row>
        <row r="12">
          <cell r="A12" t="str">
            <v>011</v>
          </cell>
          <cell r="B12">
            <v>6851</v>
          </cell>
        </row>
        <row r="13">
          <cell r="A13" t="str">
            <v>012</v>
          </cell>
          <cell r="B13">
            <v>11172</v>
          </cell>
        </row>
        <row r="14">
          <cell r="A14" t="str">
            <v>013</v>
          </cell>
          <cell r="B14">
            <v>6270</v>
          </cell>
        </row>
        <row r="15">
          <cell r="A15" t="str">
            <v>014</v>
          </cell>
          <cell r="B15">
            <v>10951</v>
          </cell>
        </row>
        <row r="16">
          <cell r="A16" t="str">
            <v>015</v>
          </cell>
          <cell r="B16">
            <v>10163</v>
          </cell>
        </row>
        <row r="17">
          <cell r="A17" t="str">
            <v>016</v>
          </cell>
          <cell r="B17">
            <v>11482</v>
          </cell>
        </row>
        <row r="18">
          <cell r="A18" t="str">
            <v>017</v>
          </cell>
          <cell r="B18">
            <v>4971</v>
          </cell>
        </row>
        <row r="19">
          <cell r="A19" t="str">
            <v>018</v>
          </cell>
          <cell r="B19">
            <v>7641</v>
          </cell>
        </row>
        <row r="20">
          <cell r="A20" t="str">
            <v>019</v>
          </cell>
          <cell r="B20">
            <v>19416</v>
          </cell>
        </row>
        <row r="21">
          <cell r="A21" t="str">
            <v>020</v>
          </cell>
          <cell r="B21">
            <v>11780</v>
          </cell>
        </row>
        <row r="22">
          <cell r="A22" t="str">
            <v>021</v>
          </cell>
          <cell r="B22">
            <v>4697</v>
          </cell>
        </row>
        <row r="23">
          <cell r="A23" t="str">
            <v>022</v>
          </cell>
          <cell r="B23">
            <v>6142</v>
          </cell>
        </row>
        <row r="24">
          <cell r="A24" t="str">
            <v>023</v>
          </cell>
          <cell r="B24">
            <v>8979</v>
          </cell>
        </row>
        <row r="25">
          <cell r="A25" t="str">
            <v>024</v>
          </cell>
          <cell r="B25">
            <v>6617</v>
          </cell>
        </row>
        <row r="26">
          <cell r="A26" t="str">
            <v>025</v>
          </cell>
          <cell r="B26">
            <v>22525</v>
          </cell>
        </row>
        <row r="27">
          <cell r="A27" t="str">
            <v>026</v>
          </cell>
          <cell r="B27">
            <v>13634</v>
          </cell>
        </row>
        <row r="28">
          <cell r="A28" t="str">
            <v>027</v>
          </cell>
          <cell r="B28">
            <v>11783</v>
          </cell>
        </row>
        <row r="29">
          <cell r="A29" t="str">
            <v>028</v>
          </cell>
          <cell r="B29">
            <v>10923</v>
          </cell>
        </row>
        <row r="30">
          <cell r="A30" t="str">
            <v>029</v>
          </cell>
          <cell r="B30">
            <v>8465</v>
          </cell>
        </row>
        <row r="31">
          <cell r="A31" t="str">
            <v>030</v>
          </cell>
          <cell r="B31">
            <v>7568</v>
          </cell>
        </row>
        <row r="32">
          <cell r="A32" t="str">
            <v>031</v>
          </cell>
          <cell r="B32">
            <v>8266</v>
          </cell>
        </row>
        <row r="33">
          <cell r="A33" t="str">
            <v>032</v>
          </cell>
          <cell r="B33">
            <v>13677</v>
          </cell>
        </row>
        <row r="34">
          <cell r="A34" t="str">
            <v>033</v>
          </cell>
          <cell r="B34">
            <v>8444</v>
          </cell>
        </row>
        <row r="35">
          <cell r="A35" t="str">
            <v>034</v>
          </cell>
          <cell r="B35">
            <v>8505</v>
          </cell>
        </row>
        <row r="36">
          <cell r="A36" t="str">
            <v>035</v>
          </cell>
          <cell r="B36">
            <v>9645</v>
          </cell>
        </row>
        <row r="37">
          <cell r="A37" t="str">
            <v>036</v>
          </cell>
          <cell r="B37">
            <v>10841</v>
          </cell>
        </row>
        <row r="38">
          <cell r="A38" t="str">
            <v>037</v>
          </cell>
          <cell r="B38">
            <v>4853</v>
          </cell>
        </row>
        <row r="39">
          <cell r="A39" t="str">
            <v>038</v>
          </cell>
          <cell r="B39">
            <v>8471</v>
          </cell>
        </row>
        <row r="40">
          <cell r="A40" t="str">
            <v>039</v>
          </cell>
          <cell r="B40">
            <v>9396</v>
          </cell>
        </row>
        <row r="41">
          <cell r="A41" t="str">
            <v>040</v>
          </cell>
          <cell r="B41">
            <v>9326</v>
          </cell>
        </row>
        <row r="42">
          <cell r="A42" t="str">
            <v>042</v>
          </cell>
          <cell r="B42">
            <v>15092</v>
          </cell>
        </row>
        <row r="43">
          <cell r="A43" t="str">
            <v>043</v>
          </cell>
          <cell r="B43">
            <v>10678</v>
          </cell>
        </row>
        <row r="44">
          <cell r="A44" t="str">
            <v>044</v>
          </cell>
          <cell r="B44">
            <v>10901</v>
          </cell>
        </row>
        <row r="45">
          <cell r="A45" t="str">
            <v>045</v>
          </cell>
          <cell r="B45">
            <v>8008</v>
          </cell>
        </row>
        <row r="46">
          <cell r="A46" t="str">
            <v>046</v>
          </cell>
          <cell r="B46">
            <v>7499</v>
          </cell>
        </row>
        <row r="47">
          <cell r="A47" t="str">
            <v>047</v>
          </cell>
          <cell r="B47">
            <v>5002</v>
          </cell>
        </row>
        <row r="48">
          <cell r="A48" t="str">
            <v>048</v>
          </cell>
          <cell r="B48">
            <v>4727</v>
          </cell>
        </row>
        <row r="49">
          <cell r="A49" t="str">
            <v>049</v>
          </cell>
          <cell r="B49">
            <v>10509</v>
          </cell>
        </row>
        <row r="50">
          <cell r="A50" t="str">
            <v>050</v>
          </cell>
          <cell r="B50">
            <v>4361</v>
          </cell>
        </row>
        <row r="51">
          <cell r="A51" t="str">
            <v>051</v>
          </cell>
          <cell r="B51">
            <v>4021</v>
          </cell>
        </row>
        <row r="52">
          <cell r="A52" t="str">
            <v>052</v>
          </cell>
          <cell r="B52">
            <v>6687</v>
          </cell>
        </row>
        <row r="53">
          <cell r="A53" t="str">
            <v>053</v>
          </cell>
          <cell r="B53">
            <v>5427</v>
          </cell>
        </row>
        <row r="54">
          <cell r="A54" t="str">
            <v>054</v>
          </cell>
          <cell r="B54">
            <v>4159</v>
          </cell>
        </row>
        <row r="55">
          <cell r="A55" t="str">
            <v>055</v>
          </cell>
          <cell r="B55">
            <v>5025</v>
          </cell>
        </row>
        <row r="56">
          <cell r="A56" t="str">
            <v>056</v>
          </cell>
          <cell r="B56">
            <v>4664</v>
          </cell>
        </row>
        <row r="57">
          <cell r="A57" t="str">
            <v>058</v>
          </cell>
          <cell r="B57">
            <v>5761</v>
          </cell>
        </row>
        <row r="58">
          <cell r="A58" t="str">
            <v>059</v>
          </cell>
          <cell r="B58">
            <v>6415</v>
          </cell>
        </row>
        <row r="59">
          <cell r="A59" t="str">
            <v>060</v>
          </cell>
          <cell r="B59">
            <v>9945</v>
          </cell>
        </row>
        <row r="60">
          <cell r="A60" t="str">
            <v>061</v>
          </cell>
          <cell r="B60">
            <v>8007</v>
          </cell>
        </row>
        <row r="61">
          <cell r="A61" t="str">
            <v>062</v>
          </cell>
          <cell r="B61">
            <v>6220</v>
          </cell>
        </row>
        <row r="62">
          <cell r="A62" t="str">
            <v>063</v>
          </cell>
          <cell r="B62">
            <v>8780</v>
          </cell>
        </row>
        <row r="63">
          <cell r="A63" t="str">
            <v>064</v>
          </cell>
          <cell r="B63">
            <v>11403</v>
          </cell>
        </row>
        <row r="64">
          <cell r="A64" t="str">
            <v>065</v>
          </cell>
          <cell r="B64">
            <v>6955</v>
          </cell>
        </row>
        <row r="65">
          <cell r="A65" t="str">
            <v>067</v>
          </cell>
          <cell r="B65">
            <v>5079</v>
          </cell>
        </row>
        <row r="66">
          <cell r="A66" t="str">
            <v>068</v>
          </cell>
          <cell r="B66">
            <v>5627</v>
          </cell>
        </row>
        <row r="67">
          <cell r="A67" t="str">
            <v>069</v>
          </cell>
          <cell r="B67">
            <v>7325</v>
          </cell>
        </row>
        <row r="68">
          <cell r="A68" t="str">
            <v>070</v>
          </cell>
          <cell r="B68">
            <v>7113</v>
          </cell>
        </row>
        <row r="69">
          <cell r="A69" t="str">
            <v>071</v>
          </cell>
          <cell r="B69">
            <v>10227</v>
          </cell>
        </row>
        <row r="70">
          <cell r="A70" t="str">
            <v>072</v>
          </cell>
          <cell r="B70">
            <v>5084</v>
          </cell>
        </row>
        <row r="71">
          <cell r="A71" t="str">
            <v>073</v>
          </cell>
          <cell r="B71">
            <v>12544</v>
          </cell>
        </row>
        <row r="72">
          <cell r="A72" t="str">
            <v>074</v>
          </cell>
          <cell r="B72">
            <v>6212</v>
          </cell>
        </row>
        <row r="73">
          <cell r="A73" t="str">
            <v>075</v>
          </cell>
          <cell r="B73">
            <v>8437</v>
          </cell>
        </row>
        <row r="74">
          <cell r="A74" t="str">
            <v>076</v>
          </cell>
          <cell r="B74">
            <v>9407</v>
          </cell>
        </row>
        <row r="75">
          <cell r="A75" t="str">
            <v>077</v>
          </cell>
          <cell r="B75">
            <v>6611</v>
          </cell>
        </row>
        <row r="76">
          <cell r="A76" t="str">
            <v>078</v>
          </cell>
          <cell r="B76">
            <v>2077</v>
          </cell>
        </row>
        <row r="77">
          <cell r="A77" t="str">
            <v>079</v>
          </cell>
          <cell r="B77">
            <v>6165</v>
          </cell>
        </row>
        <row r="78">
          <cell r="A78" t="str">
            <v>080</v>
          </cell>
          <cell r="B78">
            <v>4756</v>
          </cell>
        </row>
        <row r="79">
          <cell r="A79" t="str">
            <v>081</v>
          </cell>
          <cell r="B79">
            <v>5712</v>
          </cell>
        </row>
        <row r="80">
          <cell r="A80" t="str">
            <v>082</v>
          </cell>
          <cell r="B80">
            <v>5080</v>
          </cell>
        </row>
        <row r="81">
          <cell r="A81" t="str">
            <v>083</v>
          </cell>
          <cell r="B81">
            <v>4789</v>
          </cell>
        </row>
        <row r="82">
          <cell r="A82" t="str">
            <v>084</v>
          </cell>
          <cell r="B82">
            <v>6420</v>
          </cell>
        </row>
        <row r="83">
          <cell r="A83" t="str">
            <v>085</v>
          </cell>
          <cell r="B83">
            <v>6476</v>
          </cell>
        </row>
        <row r="84">
          <cell r="A84" t="str">
            <v>086</v>
          </cell>
          <cell r="B84">
            <v>4593</v>
          </cell>
        </row>
        <row r="85">
          <cell r="A85" t="str">
            <v>087</v>
          </cell>
          <cell r="B85">
            <v>7171</v>
          </cell>
        </row>
        <row r="86">
          <cell r="A86" t="str">
            <v>088</v>
          </cell>
          <cell r="B86">
            <v>4048</v>
          </cell>
        </row>
        <row r="87">
          <cell r="A87" t="str">
            <v>089</v>
          </cell>
          <cell r="B87">
            <v>12020</v>
          </cell>
        </row>
        <row r="88">
          <cell r="A88" t="str">
            <v>090</v>
          </cell>
          <cell r="B88">
            <v>6547</v>
          </cell>
        </row>
        <row r="89">
          <cell r="A89" t="str">
            <v>091</v>
          </cell>
          <cell r="B89">
            <v>13304</v>
          </cell>
        </row>
        <row r="90">
          <cell r="A90" t="str">
            <v>092</v>
          </cell>
          <cell r="B90">
            <v>9938</v>
          </cell>
        </row>
        <row r="91">
          <cell r="A91" t="str">
            <v>093</v>
          </cell>
          <cell r="B91">
            <v>13771</v>
          </cell>
        </row>
        <row r="92">
          <cell r="A92" t="str">
            <v>094</v>
          </cell>
          <cell r="B92">
            <v>12790</v>
          </cell>
        </row>
        <row r="93">
          <cell r="A93" t="str">
            <v>095</v>
          </cell>
          <cell r="B93">
            <v>8177</v>
          </cell>
        </row>
        <row r="94">
          <cell r="A94" t="str">
            <v>096</v>
          </cell>
          <cell r="B94">
            <v>7668</v>
          </cell>
        </row>
        <row r="95">
          <cell r="A95" t="str">
            <v>097</v>
          </cell>
          <cell r="B95">
            <v>5683</v>
          </cell>
        </row>
        <row r="96">
          <cell r="A96" t="str">
            <v>098</v>
          </cell>
          <cell r="B96">
            <v>6444</v>
          </cell>
        </row>
        <row r="97">
          <cell r="A97" t="str">
            <v>099</v>
          </cell>
          <cell r="B97">
            <v>6260</v>
          </cell>
        </row>
        <row r="98">
          <cell r="A98" t="str">
            <v>100</v>
          </cell>
          <cell r="B98">
            <v>3662</v>
          </cell>
        </row>
        <row r="99">
          <cell r="A99" t="str">
            <v>101</v>
          </cell>
          <cell r="B99">
            <v>4528</v>
          </cell>
        </row>
        <row r="100">
          <cell r="A100" t="str">
            <v>102</v>
          </cell>
          <cell r="B100">
            <v>6022</v>
          </cell>
        </row>
        <row r="101">
          <cell r="A101" t="str">
            <v>103</v>
          </cell>
          <cell r="B101">
            <v>7118</v>
          </cell>
        </row>
        <row r="102">
          <cell r="A102" t="str">
            <v>104</v>
          </cell>
          <cell r="B102">
            <v>6074</v>
          </cell>
        </row>
        <row r="103">
          <cell r="A103" t="str">
            <v>105</v>
          </cell>
          <cell r="B103">
            <v>6765</v>
          </cell>
        </row>
        <row r="104">
          <cell r="A104" t="str">
            <v>106</v>
          </cell>
          <cell r="B104">
            <v>7320</v>
          </cell>
        </row>
        <row r="105">
          <cell r="A105" t="str">
            <v>107</v>
          </cell>
          <cell r="B105">
            <v>7001</v>
          </cell>
        </row>
        <row r="106">
          <cell r="A106" t="str">
            <v>108</v>
          </cell>
          <cell r="B106">
            <v>13524</v>
          </cell>
        </row>
        <row r="107">
          <cell r="A107" t="str">
            <v>109</v>
          </cell>
          <cell r="B107">
            <v>5268</v>
          </cell>
        </row>
        <row r="108">
          <cell r="A108" t="str">
            <v>110</v>
          </cell>
          <cell r="B108">
            <v>6585</v>
          </cell>
        </row>
        <row r="109">
          <cell r="A109" t="str">
            <v>111</v>
          </cell>
          <cell r="B109">
            <v>10578</v>
          </cell>
        </row>
        <row r="110">
          <cell r="A110" t="str">
            <v>112</v>
          </cell>
          <cell r="B110">
            <v>5741</v>
          </cell>
        </row>
        <row r="111">
          <cell r="A111" t="str">
            <v>113</v>
          </cell>
          <cell r="B111">
            <v>8634</v>
          </cell>
        </row>
        <row r="112">
          <cell r="A112" t="str">
            <v>114</v>
          </cell>
          <cell r="B112">
            <v>9186</v>
          </cell>
        </row>
        <row r="113">
          <cell r="A113" t="str">
            <v>116</v>
          </cell>
          <cell r="B113">
            <v>4962</v>
          </cell>
        </row>
        <row r="114">
          <cell r="A114" t="str">
            <v>117</v>
          </cell>
          <cell r="B114">
            <v>5201</v>
          </cell>
        </row>
        <row r="115">
          <cell r="A115" t="str">
            <v>118</v>
          </cell>
          <cell r="B115">
            <v>4638</v>
          </cell>
        </row>
        <row r="116">
          <cell r="A116" t="str">
            <v>119</v>
          </cell>
          <cell r="B116">
            <v>3633</v>
          </cell>
        </row>
        <row r="117">
          <cell r="A117" t="str">
            <v>120</v>
          </cell>
          <cell r="B117">
            <v>4910</v>
          </cell>
        </row>
        <row r="118">
          <cell r="A118" t="str">
            <v>121</v>
          </cell>
          <cell r="B118">
            <v>2803</v>
          </cell>
        </row>
        <row r="119">
          <cell r="A119" t="str">
            <v>801</v>
          </cell>
          <cell r="B119">
            <v>3033</v>
          </cell>
        </row>
        <row r="120">
          <cell r="A120" t="str">
            <v>802</v>
          </cell>
          <cell r="B120">
            <v>3425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4CC6F-7FD2-468B-BFD2-8FC19DB9D78F}">
  <sheetPr>
    <pageSetUpPr fitToPage="1"/>
  </sheetPr>
  <dimension ref="A1:H89"/>
  <sheetViews>
    <sheetView tabSelected="1" topLeftCell="A12" zoomScaleNormal="100" workbookViewId="0">
      <selection activeCell="G14" sqref="G14"/>
    </sheetView>
  </sheetViews>
  <sheetFormatPr defaultColWidth="10.81640625" defaultRowHeight="14.5" x14ac:dyDescent="0.35"/>
  <cols>
    <col min="1" max="1" width="26.453125" style="2" bestFit="1" customWidth="1"/>
    <col min="2" max="2" width="26.453125" bestFit="1" customWidth="1"/>
    <col min="3" max="3" width="25.90625" style="1" bestFit="1" customWidth="1"/>
    <col min="4" max="4" width="11.453125" style="1" bestFit="1" customWidth="1"/>
    <col min="5" max="5" width="7.36328125" bestFit="1" customWidth="1"/>
    <col min="6" max="6" width="14.54296875" bestFit="1" customWidth="1"/>
    <col min="7" max="7" width="9.90625" bestFit="1" customWidth="1"/>
    <col min="8" max="8" width="12.08984375" bestFit="1" customWidth="1"/>
  </cols>
  <sheetData>
    <row r="1" spans="1:8" x14ac:dyDescent="0.35">
      <c r="A1" s="7" t="s">
        <v>165</v>
      </c>
      <c r="B1" s="7" t="s">
        <v>163</v>
      </c>
    </row>
    <row r="2" spans="1:8" x14ac:dyDescent="0.35">
      <c r="A2" s="4" t="s">
        <v>37</v>
      </c>
      <c r="B2" s="12">
        <v>230965</v>
      </c>
    </row>
    <row r="3" spans="1:8" x14ac:dyDescent="0.35">
      <c r="A3" s="4" t="s">
        <v>68</v>
      </c>
      <c r="B3" s="12">
        <v>206781</v>
      </c>
    </row>
    <row r="4" spans="1:8" x14ac:dyDescent="0.35">
      <c r="A4" s="4" t="s">
        <v>22</v>
      </c>
      <c r="B4" s="12">
        <v>110523</v>
      </c>
    </row>
    <row r="5" spans="1:8" x14ac:dyDescent="0.35">
      <c r="A5" s="4" t="s">
        <v>95</v>
      </c>
      <c r="B5" s="12">
        <v>103736</v>
      </c>
    </row>
    <row r="6" spans="1:8" x14ac:dyDescent="0.35">
      <c r="A6" s="4" t="s">
        <v>142</v>
      </c>
      <c r="B6" s="12">
        <v>79483</v>
      </c>
    </row>
    <row r="7" spans="1:8" x14ac:dyDescent="0.35">
      <c r="A7" s="4" t="s">
        <v>1</v>
      </c>
      <c r="B7" s="12">
        <v>70699</v>
      </c>
    </row>
    <row r="8" spans="1:8" x14ac:dyDescent="0.35">
      <c r="A8" s="4" t="s">
        <v>118</v>
      </c>
      <c r="B8" s="12">
        <v>60500</v>
      </c>
    </row>
    <row r="9" spans="1:8" x14ac:dyDescent="0.35">
      <c r="A9" s="4" t="s">
        <v>135</v>
      </c>
      <c r="B9" s="12">
        <v>31833</v>
      </c>
    </row>
    <row r="10" spans="1:8" x14ac:dyDescent="0.35">
      <c r="A10" s="4" t="s">
        <v>157</v>
      </c>
      <c r="B10" s="12">
        <v>23724</v>
      </c>
    </row>
    <row r="11" spans="1:8" x14ac:dyDescent="0.35">
      <c r="A11" s="11" t="s">
        <v>167</v>
      </c>
      <c r="B11" s="10">
        <f>SUM(B2:B10)</f>
        <v>918244</v>
      </c>
    </row>
    <row r="13" spans="1:8" x14ac:dyDescent="0.35">
      <c r="A13" s="9" t="s">
        <v>166</v>
      </c>
      <c r="B13" s="7" t="s">
        <v>165</v>
      </c>
      <c r="C13" s="8" t="s">
        <v>164</v>
      </c>
      <c r="D13" s="8" t="s">
        <v>163</v>
      </c>
      <c r="E13" s="7" t="s">
        <v>162</v>
      </c>
      <c r="F13" s="7" t="s">
        <v>161</v>
      </c>
      <c r="G13" s="7" t="s">
        <v>160</v>
      </c>
      <c r="H13" s="7" t="s">
        <v>159</v>
      </c>
    </row>
    <row r="14" spans="1:8" x14ac:dyDescent="0.35">
      <c r="A14" s="6" t="s">
        <v>158</v>
      </c>
      <c r="B14" s="4" t="s">
        <v>157</v>
      </c>
      <c r="C14" s="5" t="s">
        <v>156</v>
      </c>
      <c r="D14" s="5">
        <v>23724</v>
      </c>
      <c r="E14" s="4">
        <v>1</v>
      </c>
      <c r="F14" s="4">
        <f>IFERROR(VLOOKUP($A$14:$A$88,[1]DebitCard!$A$2:$B$117,2,0),0)</f>
        <v>5988</v>
      </c>
      <c r="G14" s="4">
        <f>IFERROR(VLOOKUP($A$14:$A$88,[1]TotalCasa!$A$2:$B$120,2,0),0)</f>
        <v>18402</v>
      </c>
      <c r="H14" s="3">
        <f>D14/365</f>
        <v>64.9972602739726</v>
      </c>
    </row>
    <row r="15" spans="1:8" x14ac:dyDescent="0.35">
      <c r="A15" s="6" t="s">
        <v>155</v>
      </c>
      <c r="B15" s="4" t="s">
        <v>142</v>
      </c>
      <c r="C15" s="5" t="s">
        <v>154</v>
      </c>
      <c r="D15" s="5">
        <v>24292</v>
      </c>
      <c r="E15" s="4">
        <v>1</v>
      </c>
      <c r="F15" s="4">
        <f>IFERROR(VLOOKUP($A$14:$A$88,[1]DebitCard!$A$2:$B$117,2,0),0)</f>
        <v>3228</v>
      </c>
      <c r="G15" s="4">
        <f>IFERROR(VLOOKUP($A$14:$A$88,[1]TotalCasa!$A$2:$B$120,2,0),0)</f>
        <v>22525</v>
      </c>
      <c r="H15" s="3">
        <f>D15/365</f>
        <v>66.553424657534251</v>
      </c>
    </row>
    <row r="16" spans="1:8" x14ac:dyDescent="0.35">
      <c r="A16" s="6" t="s">
        <v>153</v>
      </c>
      <c r="B16" s="4" t="s">
        <v>142</v>
      </c>
      <c r="C16" s="5" t="s">
        <v>152</v>
      </c>
      <c r="D16" s="5">
        <v>11957</v>
      </c>
      <c r="E16" s="4">
        <v>2</v>
      </c>
      <c r="F16" s="4">
        <f>IFERROR(VLOOKUP($A$14:$A$88,[1]DebitCard!$A$2:$B$117,2,0),0)</f>
        <v>2444</v>
      </c>
      <c r="G16" s="4">
        <f>IFERROR(VLOOKUP($A$14:$A$88,[1]TotalCasa!$A$2:$B$120,2,0),0)</f>
        <v>9657</v>
      </c>
      <c r="H16" s="3">
        <f>D16/365</f>
        <v>32.758904109589039</v>
      </c>
    </row>
    <row r="17" spans="1:8" x14ac:dyDescent="0.35">
      <c r="A17" s="6" t="s">
        <v>151</v>
      </c>
      <c r="B17" s="4" t="s">
        <v>142</v>
      </c>
      <c r="C17" s="5" t="s">
        <v>150</v>
      </c>
      <c r="D17" s="5">
        <v>10084</v>
      </c>
      <c r="E17" s="4">
        <v>3</v>
      </c>
      <c r="F17" s="4">
        <f>IFERROR(VLOOKUP($A$14:$A$88,[1]DebitCard!$A$2:$B$117,2,0),0)</f>
        <v>1730</v>
      </c>
      <c r="G17" s="4">
        <f>IFERROR(VLOOKUP($A$14:$A$88,[1]TotalCasa!$A$2:$B$120,2,0),0)</f>
        <v>6611</v>
      </c>
      <c r="H17" s="3">
        <f>D17/365</f>
        <v>27.627397260273973</v>
      </c>
    </row>
    <row r="18" spans="1:8" x14ac:dyDescent="0.35">
      <c r="A18" s="6" t="s">
        <v>149</v>
      </c>
      <c r="B18" s="4" t="s">
        <v>142</v>
      </c>
      <c r="C18" s="5" t="s">
        <v>148</v>
      </c>
      <c r="D18" s="5">
        <v>9376</v>
      </c>
      <c r="E18" s="4">
        <v>4</v>
      </c>
      <c r="F18" s="4">
        <f>IFERROR(VLOOKUP($A$14:$A$88,[1]DebitCard!$A$2:$B$117,2,0),0)</f>
        <v>1752</v>
      </c>
      <c r="G18" s="4">
        <f>IFERROR(VLOOKUP($A$14:$A$88,[1]TotalCasa!$A$2:$B$120,2,0),0)</f>
        <v>7001</v>
      </c>
      <c r="H18" s="3">
        <f>D18/365</f>
        <v>25.687671232876713</v>
      </c>
    </row>
    <row r="19" spans="1:8" x14ac:dyDescent="0.35">
      <c r="A19" s="6" t="s">
        <v>147</v>
      </c>
      <c r="B19" s="4" t="s">
        <v>142</v>
      </c>
      <c r="C19" s="5" t="s">
        <v>146</v>
      </c>
      <c r="D19" s="5">
        <v>9362</v>
      </c>
      <c r="E19" s="4">
        <v>5</v>
      </c>
      <c r="F19" s="4">
        <f>IFERROR(VLOOKUP($A$14:$A$88,[1]DebitCard!$A$2:$B$117,2,0),0)</f>
        <v>2690</v>
      </c>
      <c r="G19" s="4">
        <f>IFERROR(VLOOKUP($A$14:$A$88,[1]TotalCasa!$A$2:$B$120,2,0),0)</f>
        <v>13634</v>
      </c>
      <c r="H19" s="3">
        <f>D19/365</f>
        <v>25.649315068493152</v>
      </c>
    </row>
    <row r="20" spans="1:8" x14ac:dyDescent="0.35">
      <c r="A20" s="6" t="s">
        <v>145</v>
      </c>
      <c r="B20" s="4" t="s">
        <v>142</v>
      </c>
      <c r="C20" s="5" t="s">
        <v>144</v>
      </c>
      <c r="D20" s="5">
        <v>8817</v>
      </c>
      <c r="E20" s="4">
        <v>6</v>
      </c>
      <c r="F20" s="4">
        <f>IFERROR(VLOOKUP($A$14:$A$88,[1]DebitCard!$A$2:$B$117,2,0),0)</f>
        <v>1813</v>
      </c>
      <c r="G20" s="4">
        <f>IFERROR(VLOOKUP($A$14:$A$88,[1]TotalCasa!$A$2:$B$120,2,0),0)</f>
        <v>5084</v>
      </c>
      <c r="H20" s="3">
        <f>D20/365</f>
        <v>24.156164383561645</v>
      </c>
    </row>
    <row r="21" spans="1:8" x14ac:dyDescent="0.35">
      <c r="A21" s="6" t="s">
        <v>143</v>
      </c>
      <c r="B21" s="4" t="s">
        <v>142</v>
      </c>
      <c r="C21" s="5" t="s">
        <v>141</v>
      </c>
      <c r="D21" s="5">
        <v>5595</v>
      </c>
      <c r="E21" s="4">
        <v>7</v>
      </c>
      <c r="F21" s="4">
        <f>IFERROR(VLOOKUP($A$14:$A$88,[1]DebitCard!$A$2:$B$117,2,0),0)</f>
        <v>2128</v>
      </c>
      <c r="G21" s="4">
        <f>IFERROR(VLOOKUP($A$14:$A$88,[1]TotalCasa!$A$2:$B$120,2,0),0)</f>
        <v>10227</v>
      </c>
      <c r="H21" s="3">
        <f>D21/365</f>
        <v>15.328767123287671</v>
      </c>
    </row>
    <row r="22" spans="1:8" x14ac:dyDescent="0.35">
      <c r="A22" s="6" t="s">
        <v>140</v>
      </c>
      <c r="B22" s="4" t="s">
        <v>135</v>
      </c>
      <c r="C22" s="5" t="s">
        <v>139</v>
      </c>
      <c r="D22" s="5">
        <v>14433</v>
      </c>
      <c r="E22" s="4">
        <v>1</v>
      </c>
      <c r="F22" s="4">
        <f>IFERROR(VLOOKUP($A$14:$A$88,[1]DebitCard!$A$2:$B$117,2,0),0)</f>
        <v>2288</v>
      </c>
      <c r="G22" s="4">
        <f>IFERROR(VLOOKUP($A$14:$A$88,[1]TotalCasa!$A$2:$B$120,2,0),0)</f>
        <v>8177</v>
      </c>
      <c r="H22" s="3">
        <f>D22/365</f>
        <v>39.542465753424658</v>
      </c>
    </row>
    <row r="23" spans="1:8" x14ac:dyDescent="0.35">
      <c r="A23" s="6" t="s">
        <v>138</v>
      </c>
      <c r="B23" s="4" t="s">
        <v>135</v>
      </c>
      <c r="C23" s="5" t="s">
        <v>137</v>
      </c>
      <c r="D23" s="5">
        <v>11012</v>
      </c>
      <c r="E23" s="4">
        <v>2</v>
      </c>
      <c r="F23" s="4">
        <f>IFERROR(VLOOKUP($A$14:$A$88,[1]DebitCard!$A$2:$B$117,2,0),0)</f>
        <v>1558</v>
      </c>
      <c r="G23" s="4">
        <f>IFERROR(VLOOKUP($A$14:$A$88,[1]TotalCasa!$A$2:$B$120,2,0),0)</f>
        <v>13771</v>
      </c>
      <c r="H23" s="3">
        <f>D23/365</f>
        <v>30.169863013698631</v>
      </c>
    </row>
    <row r="24" spans="1:8" x14ac:dyDescent="0.35">
      <c r="A24" s="6" t="s">
        <v>136</v>
      </c>
      <c r="B24" s="4" t="s">
        <v>135</v>
      </c>
      <c r="C24" s="5" t="s">
        <v>134</v>
      </c>
      <c r="D24" s="5">
        <v>6388</v>
      </c>
      <c r="E24" s="4">
        <v>3</v>
      </c>
      <c r="F24" s="4">
        <f>IFERROR(VLOOKUP($A$14:$A$88,[1]DebitCard!$A$2:$B$117,2,0),0)</f>
        <v>1458</v>
      </c>
      <c r="G24" s="4">
        <f>IFERROR(VLOOKUP($A$14:$A$88,[1]TotalCasa!$A$2:$B$120,2,0),0)</f>
        <v>13304</v>
      </c>
      <c r="H24" s="3">
        <f>D24/365</f>
        <v>17.5013698630137</v>
      </c>
    </row>
    <row r="25" spans="1:8" x14ac:dyDescent="0.35">
      <c r="A25" s="6" t="s">
        <v>133</v>
      </c>
      <c r="B25" s="4" t="s">
        <v>118</v>
      </c>
      <c r="C25" s="5" t="s">
        <v>132</v>
      </c>
      <c r="D25" s="5">
        <v>16297</v>
      </c>
      <c r="E25" s="4">
        <v>1</v>
      </c>
      <c r="F25" s="4">
        <f>IFERROR(VLOOKUP($A$14:$A$88,[1]DebitCard!$A$2:$B$117,2,0),0)</f>
        <v>2338</v>
      </c>
      <c r="G25" s="4">
        <f>IFERROR(VLOOKUP($A$14:$A$88,[1]TotalCasa!$A$2:$B$120,2,0),0)</f>
        <v>8505</v>
      </c>
      <c r="H25" s="3">
        <f>D25/365</f>
        <v>44.649315068493152</v>
      </c>
    </row>
    <row r="26" spans="1:8" x14ac:dyDescent="0.35">
      <c r="A26" s="6" t="s">
        <v>131</v>
      </c>
      <c r="B26" s="4" t="s">
        <v>118</v>
      </c>
      <c r="C26" s="5" t="s">
        <v>130</v>
      </c>
      <c r="D26" s="5">
        <v>13682</v>
      </c>
      <c r="E26" s="4">
        <v>2</v>
      </c>
      <c r="F26" s="4">
        <f>IFERROR(VLOOKUP($A$14:$A$88,[1]DebitCard!$A$2:$B$117,2,0),0)</f>
        <v>2058</v>
      </c>
      <c r="G26" s="4">
        <f>IFERROR(VLOOKUP($A$14:$A$88,[1]TotalCasa!$A$2:$B$120,2,0),0)</f>
        <v>11172</v>
      </c>
      <c r="H26" s="3">
        <f>D26/365</f>
        <v>37.484931506849314</v>
      </c>
    </row>
    <row r="27" spans="1:8" x14ac:dyDescent="0.35">
      <c r="A27" s="6" t="s">
        <v>129</v>
      </c>
      <c r="B27" s="4" t="s">
        <v>118</v>
      </c>
      <c r="C27" s="5" t="s">
        <v>128</v>
      </c>
      <c r="D27" s="5">
        <v>6845</v>
      </c>
      <c r="E27" s="4">
        <v>3</v>
      </c>
      <c r="F27" s="4">
        <f>IFERROR(VLOOKUP($A$14:$A$88,[1]DebitCard!$A$2:$B$117,2,0),0)</f>
        <v>1591</v>
      </c>
      <c r="G27" s="4">
        <f>IFERROR(VLOOKUP($A$14:$A$88,[1]TotalCasa!$A$2:$B$120,2,0),0)</f>
        <v>5761</v>
      </c>
      <c r="H27" s="3">
        <f>D27/365</f>
        <v>18.753424657534246</v>
      </c>
    </row>
    <row r="28" spans="1:8" x14ac:dyDescent="0.35">
      <c r="A28" s="6" t="s">
        <v>127</v>
      </c>
      <c r="B28" s="4" t="s">
        <v>118</v>
      </c>
      <c r="C28" s="5" t="s">
        <v>126</v>
      </c>
      <c r="D28" s="5">
        <v>6519</v>
      </c>
      <c r="E28" s="4">
        <v>4</v>
      </c>
      <c r="F28" s="4">
        <f>IFERROR(VLOOKUP($A$14:$A$88,[1]DebitCard!$A$2:$B$117,2,0),0)</f>
        <v>1514</v>
      </c>
      <c r="G28" s="4">
        <f>IFERROR(VLOOKUP($A$14:$A$88,[1]TotalCasa!$A$2:$B$120,2,0),0)</f>
        <v>6585</v>
      </c>
      <c r="H28" s="3">
        <f>D28/365</f>
        <v>17.860273972602741</v>
      </c>
    </row>
    <row r="29" spans="1:8" x14ac:dyDescent="0.35">
      <c r="A29" s="6" t="s">
        <v>125</v>
      </c>
      <c r="B29" s="4" t="s">
        <v>118</v>
      </c>
      <c r="C29" s="5" t="s">
        <v>124</v>
      </c>
      <c r="D29" s="5">
        <v>6453</v>
      </c>
      <c r="E29" s="4">
        <v>5</v>
      </c>
      <c r="F29" s="4">
        <f>IFERROR(VLOOKUP($A$14:$A$88,[1]DebitCard!$A$2:$B$117,2,0),0)</f>
        <v>1275</v>
      </c>
      <c r="G29" s="4">
        <f>IFERROR(VLOOKUP($A$14:$A$88,[1]TotalCasa!$A$2:$B$120,2,0),0)</f>
        <v>7113</v>
      </c>
      <c r="H29" s="3">
        <f>D29/365</f>
        <v>17.67945205479452</v>
      </c>
    </row>
    <row r="30" spans="1:8" x14ac:dyDescent="0.35">
      <c r="A30" s="6" t="s">
        <v>123</v>
      </c>
      <c r="B30" s="4" t="s">
        <v>118</v>
      </c>
      <c r="C30" s="5" t="s">
        <v>122</v>
      </c>
      <c r="D30" s="5">
        <v>4459</v>
      </c>
      <c r="E30" s="4">
        <v>6</v>
      </c>
      <c r="F30" s="4">
        <f>IFERROR(VLOOKUP($A$14:$A$88,[1]DebitCard!$A$2:$B$117,2,0),0)</f>
        <v>1119</v>
      </c>
      <c r="G30" s="4">
        <f>IFERROR(VLOOKUP($A$14:$A$88,[1]TotalCasa!$A$2:$B$120,2,0),0)</f>
        <v>12127</v>
      </c>
      <c r="H30" s="3">
        <f>D30/365</f>
        <v>12.216438356164383</v>
      </c>
    </row>
    <row r="31" spans="1:8" x14ac:dyDescent="0.35">
      <c r="A31" s="6" t="s">
        <v>121</v>
      </c>
      <c r="B31" s="4" t="s">
        <v>118</v>
      </c>
      <c r="C31" s="5" t="s">
        <v>120</v>
      </c>
      <c r="D31" s="5">
        <v>4348</v>
      </c>
      <c r="E31" s="4">
        <v>7</v>
      </c>
      <c r="F31" s="4">
        <f>IFERROR(VLOOKUP($A$14:$A$88,[1]DebitCard!$A$2:$B$117,2,0),0)</f>
        <v>1204</v>
      </c>
      <c r="G31" s="4">
        <f>IFERROR(VLOOKUP($A$14:$A$88,[1]TotalCasa!$A$2:$B$120,2,0),0)</f>
        <v>7325</v>
      </c>
      <c r="H31" s="3">
        <f>D31/365</f>
        <v>11.912328767123288</v>
      </c>
    </row>
    <row r="32" spans="1:8" x14ac:dyDescent="0.35">
      <c r="A32" s="6" t="s">
        <v>119</v>
      </c>
      <c r="B32" s="4" t="s">
        <v>118</v>
      </c>
      <c r="C32" s="5" t="s">
        <v>117</v>
      </c>
      <c r="D32" s="5">
        <v>1897</v>
      </c>
      <c r="E32" s="4">
        <v>8</v>
      </c>
      <c r="F32" s="4">
        <f>IFERROR(VLOOKUP($A$14:$A$88,[1]DebitCard!$A$2:$B$117,2,0),0)</f>
        <v>1364</v>
      </c>
      <c r="G32" s="4">
        <f>IFERROR(VLOOKUP($A$14:$A$88,[1]TotalCasa!$A$2:$B$120,2,0),0)</f>
        <v>9559</v>
      </c>
      <c r="H32" s="3">
        <f>D32/365</f>
        <v>5.1972602739726028</v>
      </c>
    </row>
    <row r="33" spans="1:8" x14ac:dyDescent="0.35">
      <c r="A33" s="6" t="s">
        <v>116</v>
      </c>
      <c r="B33" s="4" t="s">
        <v>95</v>
      </c>
      <c r="C33" s="5" t="s">
        <v>115</v>
      </c>
      <c r="D33" s="5">
        <v>18956</v>
      </c>
      <c r="E33" s="4">
        <v>1</v>
      </c>
      <c r="F33" s="4">
        <f>IFERROR(VLOOKUP($A$14:$A$88,[1]DebitCard!$A$2:$B$117,2,0),0)</f>
        <v>2541</v>
      </c>
      <c r="G33" s="4">
        <f>IFERROR(VLOOKUP($A$14:$A$88,[1]TotalCasa!$A$2:$B$120,2,0),0)</f>
        <v>8437</v>
      </c>
      <c r="H33" s="3">
        <f>D33/365</f>
        <v>51.934246575342463</v>
      </c>
    </row>
    <row r="34" spans="1:8" x14ac:dyDescent="0.35">
      <c r="A34" s="6" t="s">
        <v>114</v>
      </c>
      <c r="B34" s="4" t="s">
        <v>95</v>
      </c>
      <c r="C34" s="5" t="s">
        <v>113</v>
      </c>
      <c r="D34" s="5">
        <v>12120</v>
      </c>
      <c r="E34" s="4">
        <v>2</v>
      </c>
      <c r="F34" s="4">
        <f>IFERROR(VLOOKUP($A$14:$A$88,[1]DebitCard!$A$2:$B$117,2,0),0)</f>
        <v>2254</v>
      </c>
      <c r="G34" s="4">
        <f>IFERROR(VLOOKUP($A$14:$A$88,[1]TotalCasa!$A$2:$B$120,2,0),0)</f>
        <v>10578</v>
      </c>
      <c r="H34" s="3">
        <f>D34/365</f>
        <v>33.205479452054796</v>
      </c>
    </row>
    <row r="35" spans="1:8" x14ac:dyDescent="0.35">
      <c r="A35" s="6" t="s">
        <v>112</v>
      </c>
      <c r="B35" s="4" t="s">
        <v>95</v>
      </c>
      <c r="C35" s="5" t="s">
        <v>111</v>
      </c>
      <c r="D35" s="5">
        <v>11851</v>
      </c>
      <c r="E35" s="4">
        <v>3</v>
      </c>
      <c r="F35" s="4">
        <f>IFERROR(VLOOKUP($A$14:$A$88,[1]DebitCard!$A$2:$B$117,2,0),0)</f>
        <v>1242</v>
      </c>
      <c r="G35" s="4">
        <f>IFERROR(VLOOKUP($A$14:$A$88,[1]TotalCasa!$A$2:$B$120,2,0),0)</f>
        <v>4159</v>
      </c>
      <c r="H35" s="3">
        <f>D35/365</f>
        <v>32.468493150684928</v>
      </c>
    </row>
    <row r="36" spans="1:8" x14ac:dyDescent="0.35">
      <c r="A36" s="6" t="s">
        <v>110</v>
      </c>
      <c r="B36" s="4" t="s">
        <v>95</v>
      </c>
      <c r="C36" s="5" t="s">
        <v>109</v>
      </c>
      <c r="D36" s="5">
        <v>9920</v>
      </c>
      <c r="E36" s="4">
        <v>4</v>
      </c>
      <c r="F36" s="4">
        <f>IFERROR(VLOOKUP($A$14:$A$88,[1]DebitCard!$A$2:$B$117,2,0),0)</f>
        <v>1858</v>
      </c>
      <c r="G36" s="4">
        <f>IFERROR(VLOOKUP($A$14:$A$88,[1]TotalCasa!$A$2:$B$120,2,0),0)</f>
        <v>10951</v>
      </c>
      <c r="H36" s="3">
        <f>D36/365</f>
        <v>27.17808219178082</v>
      </c>
    </row>
    <row r="37" spans="1:8" x14ac:dyDescent="0.35">
      <c r="A37" s="6" t="s">
        <v>108</v>
      </c>
      <c r="B37" s="4" t="s">
        <v>95</v>
      </c>
      <c r="C37" s="5" t="s">
        <v>107</v>
      </c>
      <c r="D37" s="5">
        <v>9598</v>
      </c>
      <c r="E37" s="4">
        <v>5</v>
      </c>
      <c r="F37" s="4">
        <f>IFERROR(VLOOKUP($A$14:$A$88,[1]DebitCard!$A$2:$B$117,2,0),0)</f>
        <v>1240</v>
      </c>
      <c r="G37" s="4">
        <f>IFERROR(VLOOKUP($A$14:$A$88,[1]TotalCasa!$A$2:$B$120,2,0),0)</f>
        <v>6022</v>
      </c>
      <c r="H37" s="3">
        <f>D37/365</f>
        <v>26.295890410958904</v>
      </c>
    </row>
    <row r="38" spans="1:8" x14ac:dyDescent="0.35">
      <c r="A38" s="6" t="s">
        <v>106</v>
      </c>
      <c r="B38" s="4" t="s">
        <v>95</v>
      </c>
      <c r="C38" s="5" t="s">
        <v>105</v>
      </c>
      <c r="D38" s="5">
        <v>9467</v>
      </c>
      <c r="E38" s="4">
        <v>6</v>
      </c>
      <c r="F38" s="4">
        <f>IFERROR(VLOOKUP($A$14:$A$88,[1]DebitCard!$A$2:$B$117,2,0),0)</f>
        <v>1153</v>
      </c>
      <c r="G38" s="4">
        <f>IFERROR(VLOOKUP($A$14:$A$88,[1]TotalCasa!$A$2:$B$120,2,0),0)</f>
        <v>7568</v>
      </c>
      <c r="H38" s="3">
        <f>D38/365</f>
        <v>25.936986301369863</v>
      </c>
    </row>
    <row r="39" spans="1:8" x14ac:dyDescent="0.35">
      <c r="A39" s="6" t="s">
        <v>104</v>
      </c>
      <c r="B39" s="4" t="s">
        <v>95</v>
      </c>
      <c r="C39" s="5" t="s">
        <v>103</v>
      </c>
      <c r="D39" s="5">
        <v>8127</v>
      </c>
      <c r="E39" s="4">
        <v>7</v>
      </c>
      <c r="F39" s="4">
        <f>IFERROR(VLOOKUP($A$14:$A$88,[1]DebitCard!$A$2:$B$117,2,0),0)</f>
        <v>3076</v>
      </c>
      <c r="G39" s="4">
        <f>IFERROR(VLOOKUP($A$14:$A$88,[1]TotalCasa!$A$2:$B$120,2,0),0)</f>
        <v>6476</v>
      </c>
      <c r="H39" s="3">
        <f>D39/365</f>
        <v>22.265753424657536</v>
      </c>
    </row>
    <row r="40" spans="1:8" x14ac:dyDescent="0.35">
      <c r="A40" s="6" t="s">
        <v>102</v>
      </c>
      <c r="B40" s="4" t="s">
        <v>95</v>
      </c>
      <c r="C40" s="5" t="s">
        <v>101</v>
      </c>
      <c r="D40" s="5">
        <v>7921</v>
      </c>
      <c r="E40" s="4">
        <v>8</v>
      </c>
      <c r="F40" s="4">
        <f>IFERROR(VLOOKUP($A$14:$A$88,[1]DebitCard!$A$2:$B$117,2,0),0)</f>
        <v>1357</v>
      </c>
      <c r="G40" s="4">
        <f>IFERROR(VLOOKUP($A$14:$A$88,[1]TotalCasa!$A$2:$B$120,2,0),0)</f>
        <v>10861</v>
      </c>
      <c r="H40" s="3">
        <f>D40/365</f>
        <v>21.701369863013699</v>
      </c>
    </row>
    <row r="41" spans="1:8" x14ac:dyDescent="0.35">
      <c r="A41" s="6" t="s">
        <v>100</v>
      </c>
      <c r="B41" s="4" t="s">
        <v>95</v>
      </c>
      <c r="C41" s="5" t="s">
        <v>99</v>
      </c>
      <c r="D41" s="5">
        <v>6076</v>
      </c>
      <c r="E41" s="4">
        <v>9</v>
      </c>
      <c r="F41" s="4">
        <f>IFERROR(VLOOKUP($A$14:$A$88,[1]DebitCard!$A$2:$B$117,2,0),0)</f>
        <v>1139</v>
      </c>
      <c r="G41" s="4">
        <f>IFERROR(VLOOKUP($A$14:$A$88,[1]TotalCasa!$A$2:$B$120,2,0),0)</f>
        <v>5025</v>
      </c>
      <c r="H41" s="3">
        <f>D41/365</f>
        <v>16.646575342465752</v>
      </c>
    </row>
    <row r="42" spans="1:8" x14ac:dyDescent="0.35">
      <c r="A42" s="6" t="s">
        <v>98</v>
      </c>
      <c r="B42" s="4" t="s">
        <v>95</v>
      </c>
      <c r="C42" s="5" t="s">
        <v>97</v>
      </c>
      <c r="D42" s="5">
        <v>5558</v>
      </c>
      <c r="E42" s="4">
        <v>10</v>
      </c>
      <c r="F42" s="4">
        <f>IFERROR(VLOOKUP($A$14:$A$88,[1]DebitCard!$A$2:$B$117,2,0),0)</f>
        <v>1470</v>
      </c>
      <c r="G42" s="4">
        <f>IFERROR(VLOOKUP($A$14:$A$88,[1]TotalCasa!$A$2:$B$120,2,0),0)</f>
        <v>11482</v>
      </c>
      <c r="H42" s="3">
        <f>D42/365</f>
        <v>15.227397260273973</v>
      </c>
    </row>
    <row r="43" spans="1:8" x14ac:dyDescent="0.35">
      <c r="A43" s="6" t="s">
        <v>96</v>
      </c>
      <c r="B43" s="4" t="s">
        <v>95</v>
      </c>
      <c r="C43" s="5" t="s">
        <v>94</v>
      </c>
      <c r="D43" s="5">
        <v>4142</v>
      </c>
      <c r="E43" s="4">
        <v>11</v>
      </c>
      <c r="F43" s="4">
        <f>IFERROR(VLOOKUP($A$14:$A$88,[1]DebitCard!$A$2:$B$117,2,0),0)</f>
        <v>1200</v>
      </c>
      <c r="G43" s="4">
        <f>IFERROR(VLOOKUP($A$14:$A$88,[1]TotalCasa!$A$2:$B$120,2,0),0)</f>
        <v>5002</v>
      </c>
      <c r="H43" s="3">
        <f>D43/365</f>
        <v>11.347945205479451</v>
      </c>
    </row>
    <row r="44" spans="1:8" x14ac:dyDescent="0.35">
      <c r="A44" s="6" t="s">
        <v>93</v>
      </c>
      <c r="B44" s="4" t="s">
        <v>68</v>
      </c>
      <c r="C44" s="5" t="s">
        <v>92</v>
      </c>
      <c r="D44" s="5">
        <v>29794</v>
      </c>
      <c r="E44" s="4">
        <v>1</v>
      </c>
      <c r="F44" s="4">
        <f>IFERROR(VLOOKUP($A$14:$A$88,[1]DebitCard!$A$2:$B$117,2,0),0)</f>
        <v>3119</v>
      </c>
      <c r="G44" s="4">
        <f>IFERROR(VLOOKUP($A$14:$A$88,[1]TotalCasa!$A$2:$B$120,2,0),0)</f>
        <v>5712</v>
      </c>
      <c r="H44" s="3">
        <f>D44/365</f>
        <v>81.627397260273966</v>
      </c>
    </row>
    <row r="45" spans="1:8" x14ac:dyDescent="0.35">
      <c r="A45" s="6" t="s">
        <v>91</v>
      </c>
      <c r="B45" s="4" t="s">
        <v>68</v>
      </c>
      <c r="C45" s="5" t="s">
        <v>90</v>
      </c>
      <c r="D45" s="5">
        <v>29624</v>
      </c>
      <c r="E45" s="4">
        <v>2</v>
      </c>
      <c r="F45" s="4">
        <f>IFERROR(VLOOKUP($A$14:$A$88,[1]DebitCard!$A$2:$B$117,2,0),0)</f>
        <v>2376</v>
      </c>
      <c r="G45" s="4">
        <f>IFERROR(VLOOKUP($A$14:$A$88,[1]TotalCasa!$A$2:$B$120,2,0),0)</f>
        <v>6765</v>
      </c>
      <c r="H45" s="3">
        <f>D45/365</f>
        <v>81.161643835616445</v>
      </c>
    </row>
    <row r="46" spans="1:8" x14ac:dyDescent="0.35">
      <c r="A46" s="6" t="s">
        <v>89</v>
      </c>
      <c r="B46" s="4" t="s">
        <v>68</v>
      </c>
      <c r="C46" s="5" t="s">
        <v>88</v>
      </c>
      <c r="D46" s="5">
        <v>27655</v>
      </c>
      <c r="E46" s="4">
        <v>3</v>
      </c>
      <c r="F46" s="4">
        <f>IFERROR(VLOOKUP($A$14:$A$88,[1]DebitCard!$A$2:$B$117,2,0),0)</f>
        <v>2805</v>
      </c>
      <c r="G46" s="4">
        <f>IFERROR(VLOOKUP($A$14:$A$88,[1]TotalCasa!$A$2:$B$120,2,0),0)</f>
        <v>6165</v>
      </c>
      <c r="H46" s="3">
        <f>D46/365</f>
        <v>75.767123287671239</v>
      </c>
    </row>
    <row r="47" spans="1:8" x14ac:dyDescent="0.35">
      <c r="A47" s="6" t="s">
        <v>87</v>
      </c>
      <c r="B47" s="4" t="s">
        <v>68</v>
      </c>
      <c r="C47" s="5" t="s">
        <v>86</v>
      </c>
      <c r="D47" s="5">
        <v>27518</v>
      </c>
      <c r="E47" s="4">
        <v>4</v>
      </c>
      <c r="F47" s="4">
        <f>IFERROR(VLOOKUP($A$14:$A$88,[1]DebitCard!$A$2:$B$117,2,0),0)</f>
        <v>2832</v>
      </c>
      <c r="G47" s="4">
        <f>IFERROR(VLOOKUP($A$14:$A$88,[1]TotalCasa!$A$2:$B$120,2,0),0)</f>
        <v>6142</v>
      </c>
      <c r="H47" s="3">
        <f>D47/365</f>
        <v>75.391780821917806</v>
      </c>
    </row>
    <row r="48" spans="1:8" x14ac:dyDescent="0.35">
      <c r="A48" s="6" t="s">
        <v>85</v>
      </c>
      <c r="B48" s="4" t="s">
        <v>68</v>
      </c>
      <c r="C48" s="5" t="s">
        <v>84</v>
      </c>
      <c r="D48" s="5">
        <v>18910</v>
      </c>
      <c r="E48" s="4">
        <v>5</v>
      </c>
      <c r="F48" s="4">
        <f>IFERROR(VLOOKUP($A$14:$A$88,[1]DebitCard!$A$2:$B$117,2,0),0)</f>
        <v>4586</v>
      </c>
      <c r="G48" s="4">
        <f>IFERROR(VLOOKUP($A$14:$A$88,[1]TotalCasa!$A$2:$B$120,2,0),0)</f>
        <v>12020</v>
      </c>
      <c r="H48" s="3">
        <f>D48/365</f>
        <v>51.80821917808219</v>
      </c>
    </row>
    <row r="49" spans="1:8" x14ac:dyDescent="0.35">
      <c r="A49" s="6" t="s">
        <v>83</v>
      </c>
      <c r="B49" s="4" t="s">
        <v>68</v>
      </c>
      <c r="C49" s="5" t="s">
        <v>82</v>
      </c>
      <c r="D49" s="5">
        <v>18568</v>
      </c>
      <c r="E49" s="4">
        <v>6</v>
      </c>
      <c r="F49" s="4">
        <f>IFERROR(VLOOKUP($A$14:$A$88,[1]DebitCard!$A$2:$B$117,2,0),0)</f>
        <v>3554</v>
      </c>
      <c r="G49" s="4">
        <f>IFERROR(VLOOKUP($A$14:$A$88,[1]TotalCasa!$A$2:$B$120,2,0),0)</f>
        <v>9326</v>
      </c>
      <c r="H49" s="3">
        <f>D49/365</f>
        <v>50.871232876712327</v>
      </c>
    </row>
    <row r="50" spans="1:8" x14ac:dyDescent="0.35">
      <c r="A50" s="6" t="s">
        <v>81</v>
      </c>
      <c r="B50" s="4" t="s">
        <v>68</v>
      </c>
      <c r="C50" s="5" t="s">
        <v>80</v>
      </c>
      <c r="D50" s="5">
        <v>16531</v>
      </c>
      <c r="E50" s="4">
        <v>7</v>
      </c>
      <c r="F50" s="4">
        <f>IFERROR(VLOOKUP($A$14:$A$88,[1]DebitCard!$A$2:$B$117,2,0),0)</f>
        <v>3341</v>
      </c>
      <c r="G50" s="4">
        <f>IFERROR(VLOOKUP($A$14:$A$88,[1]TotalCasa!$A$2:$B$120,2,0),0)</f>
        <v>6687</v>
      </c>
      <c r="H50" s="3">
        <f>D50/365</f>
        <v>45.290410958904111</v>
      </c>
    </row>
    <row r="51" spans="1:8" x14ac:dyDescent="0.35">
      <c r="A51" s="6" t="s">
        <v>79</v>
      </c>
      <c r="B51" s="4" t="s">
        <v>68</v>
      </c>
      <c r="C51" s="5" t="s">
        <v>78</v>
      </c>
      <c r="D51" s="5">
        <v>12421</v>
      </c>
      <c r="E51" s="4">
        <v>8</v>
      </c>
      <c r="F51" s="4">
        <f>IFERROR(VLOOKUP($A$14:$A$88,[1]DebitCard!$A$2:$B$117,2,0),0)</f>
        <v>1358</v>
      </c>
      <c r="G51" s="4">
        <f>IFERROR(VLOOKUP($A$14:$A$88,[1]TotalCasa!$A$2:$B$120,2,0),0)</f>
        <v>6617</v>
      </c>
      <c r="H51" s="3">
        <f>D51/365</f>
        <v>34.030136986301372</v>
      </c>
    </row>
    <row r="52" spans="1:8" x14ac:dyDescent="0.35">
      <c r="A52" s="6" t="s">
        <v>77</v>
      </c>
      <c r="B52" s="4" t="s">
        <v>68</v>
      </c>
      <c r="C52" s="5" t="s">
        <v>76</v>
      </c>
      <c r="D52" s="5">
        <v>11488</v>
      </c>
      <c r="E52" s="4">
        <v>9</v>
      </c>
      <c r="F52" s="4">
        <f>IFERROR(VLOOKUP($A$14:$A$88,[1]DebitCard!$A$2:$B$117,2,0),0)</f>
        <v>1370</v>
      </c>
      <c r="G52" s="4">
        <f>IFERROR(VLOOKUP($A$14:$A$88,[1]TotalCasa!$A$2:$B$120,2,0),0)</f>
        <v>4528</v>
      </c>
      <c r="H52" s="3">
        <f>D52/365</f>
        <v>31.473972602739725</v>
      </c>
    </row>
    <row r="53" spans="1:8" x14ac:dyDescent="0.35">
      <c r="A53" s="6" t="s">
        <v>75</v>
      </c>
      <c r="B53" s="4" t="s">
        <v>68</v>
      </c>
      <c r="C53" s="5" t="s">
        <v>74</v>
      </c>
      <c r="D53" s="5">
        <v>5814</v>
      </c>
      <c r="E53" s="4">
        <v>10</v>
      </c>
      <c r="F53" s="4">
        <f>IFERROR(VLOOKUP($A$14:$A$88,[1]DebitCard!$A$2:$B$117,2,0),0)</f>
        <v>1942</v>
      </c>
      <c r="G53" s="4">
        <f>IFERROR(VLOOKUP($A$14:$A$88,[1]TotalCasa!$A$2:$B$120,2,0),0)</f>
        <v>4048</v>
      </c>
      <c r="H53" s="3">
        <f>D53/365</f>
        <v>15.92876712328767</v>
      </c>
    </row>
    <row r="54" spans="1:8" x14ac:dyDescent="0.35">
      <c r="A54" s="6" t="s">
        <v>73</v>
      </c>
      <c r="B54" s="4" t="s">
        <v>68</v>
      </c>
      <c r="C54" s="5" t="s">
        <v>72</v>
      </c>
      <c r="D54" s="5">
        <v>5500</v>
      </c>
      <c r="E54" s="4">
        <v>11</v>
      </c>
      <c r="F54" s="4">
        <f>IFERROR(VLOOKUP($A$14:$A$88,[1]DebitCard!$A$2:$B$117,2,0),0)</f>
        <v>1069</v>
      </c>
      <c r="G54" s="4">
        <f>IFERROR(VLOOKUP($A$14:$A$88,[1]TotalCasa!$A$2:$B$120,2,0),0)</f>
        <v>10509</v>
      </c>
      <c r="H54" s="3">
        <f>D54/365</f>
        <v>15.068493150684931</v>
      </c>
    </row>
    <row r="55" spans="1:8" x14ac:dyDescent="0.35">
      <c r="A55" s="6" t="s">
        <v>71</v>
      </c>
      <c r="B55" s="4" t="s">
        <v>68</v>
      </c>
      <c r="C55" s="5" t="s">
        <v>70</v>
      </c>
      <c r="D55" s="5">
        <v>2133</v>
      </c>
      <c r="E55" s="4">
        <v>12</v>
      </c>
      <c r="F55" s="4">
        <f>IFERROR(VLOOKUP($A$14:$A$88,[1]DebitCard!$A$2:$B$117,2,0),0)</f>
        <v>2147</v>
      </c>
      <c r="G55" s="4">
        <f>IFERROR(VLOOKUP($A$14:$A$88,[1]TotalCasa!$A$2:$B$120,2,0),0)</f>
        <v>4361</v>
      </c>
      <c r="H55" s="3">
        <f>D55/365</f>
        <v>5.8438356164383558</v>
      </c>
    </row>
    <row r="56" spans="1:8" x14ac:dyDescent="0.35">
      <c r="A56" s="6" t="s">
        <v>69</v>
      </c>
      <c r="B56" s="4" t="s">
        <v>68</v>
      </c>
      <c r="C56" s="5" t="s">
        <v>67</v>
      </c>
      <c r="D56" s="5">
        <v>825</v>
      </c>
      <c r="E56" s="4">
        <v>13</v>
      </c>
      <c r="F56" s="4">
        <f>IFERROR(VLOOKUP($A$14:$A$88,[1]DebitCard!$A$2:$B$117,2,0),0)</f>
        <v>1442</v>
      </c>
      <c r="G56" s="4">
        <f>IFERROR(VLOOKUP($A$14:$A$88,[1]TotalCasa!$A$2:$B$120,2,0),0)</f>
        <v>9238</v>
      </c>
      <c r="H56" s="3">
        <f>D56/365</f>
        <v>2.2602739726027399</v>
      </c>
    </row>
    <row r="57" spans="1:8" x14ac:dyDescent="0.35">
      <c r="A57" s="6" t="s">
        <v>66</v>
      </c>
      <c r="B57" s="4" t="s">
        <v>37</v>
      </c>
      <c r="C57" s="5" t="s">
        <v>65</v>
      </c>
      <c r="D57" s="5">
        <v>39021</v>
      </c>
      <c r="E57" s="4">
        <v>1</v>
      </c>
      <c r="F57" s="4">
        <f>IFERROR(VLOOKUP($A$14:$A$88,[1]DebitCard!$A$2:$B$117,2,0),0)</f>
        <v>1893</v>
      </c>
      <c r="G57" s="4">
        <f>IFERROR(VLOOKUP($A$14:$A$88,[1]TotalCasa!$A$2:$B$120,2,0),0)</f>
        <v>4638</v>
      </c>
      <c r="H57" s="3">
        <f>D57/365</f>
        <v>106.9068493150685</v>
      </c>
    </row>
    <row r="58" spans="1:8" x14ac:dyDescent="0.35">
      <c r="A58" s="6" t="s">
        <v>64</v>
      </c>
      <c r="B58" s="4" t="s">
        <v>37</v>
      </c>
      <c r="C58" s="5" t="s">
        <v>63</v>
      </c>
      <c r="D58" s="5">
        <v>30833</v>
      </c>
      <c r="E58" s="4">
        <v>2</v>
      </c>
      <c r="F58" s="4">
        <f>IFERROR(VLOOKUP($A$14:$A$88,[1]DebitCard!$A$2:$B$117,2,0),0)</f>
        <v>2149</v>
      </c>
      <c r="G58" s="4">
        <f>IFERROR(VLOOKUP($A$14:$A$88,[1]TotalCasa!$A$2:$B$120,2,0),0)</f>
        <v>6260</v>
      </c>
      <c r="H58" s="3">
        <f>D58/365</f>
        <v>84.473972602739721</v>
      </c>
    </row>
    <row r="59" spans="1:8" x14ac:dyDescent="0.35">
      <c r="A59" s="6" t="s">
        <v>62</v>
      </c>
      <c r="B59" s="4" t="s">
        <v>37</v>
      </c>
      <c r="C59" s="5" t="s">
        <v>61</v>
      </c>
      <c r="D59" s="5">
        <v>24763</v>
      </c>
      <c r="E59" s="4">
        <v>3</v>
      </c>
      <c r="F59" s="4">
        <f>IFERROR(VLOOKUP($A$14:$A$88,[1]DebitCard!$A$2:$B$117,2,0),0)</f>
        <v>1457</v>
      </c>
      <c r="G59" s="4">
        <f>IFERROR(VLOOKUP($A$14:$A$88,[1]TotalCasa!$A$2:$B$120,2,0),0)</f>
        <v>4910</v>
      </c>
      <c r="H59" s="3">
        <f>D59/365</f>
        <v>67.843835616438355</v>
      </c>
    </row>
    <row r="60" spans="1:8" x14ac:dyDescent="0.35">
      <c r="A60" s="6" t="s">
        <v>60</v>
      </c>
      <c r="B60" s="4" t="s">
        <v>37</v>
      </c>
      <c r="C60" s="5" t="s">
        <v>59</v>
      </c>
      <c r="D60" s="5">
        <v>18921</v>
      </c>
      <c r="E60" s="4">
        <v>4</v>
      </c>
      <c r="F60" s="4">
        <f>IFERROR(VLOOKUP($A$14:$A$88,[1]DebitCard!$A$2:$B$117,2,0),0)</f>
        <v>2192</v>
      </c>
      <c r="G60" s="4">
        <f>IFERROR(VLOOKUP($A$14:$A$88,[1]TotalCasa!$A$2:$B$120,2,0),0)</f>
        <v>4727</v>
      </c>
      <c r="H60" s="3">
        <f>D60/365</f>
        <v>51.838356164383562</v>
      </c>
    </row>
    <row r="61" spans="1:8" x14ac:dyDescent="0.35">
      <c r="A61" s="6" t="s">
        <v>58</v>
      </c>
      <c r="B61" s="4" t="s">
        <v>37</v>
      </c>
      <c r="C61" s="5" t="s">
        <v>57</v>
      </c>
      <c r="D61" s="5">
        <v>16538</v>
      </c>
      <c r="E61" s="4">
        <v>5</v>
      </c>
      <c r="F61" s="4">
        <f>IFERROR(VLOOKUP($A$14:$A$88,[1]DebitCard!$A$2:$B$117,2,0),0)</f>
        <v>973</v>
      </c>
      <c r="G61" s="4">
        <f>IFERROR(VLOOKUP($A$14:$A$88,[1]TotalCasa!$A$2:$B$120,2,0),0)</f>
        <v>6547</v>
      </c>
      <c r="H61" s="3">
        <f>D61/365</f>
        <v>45.30958904109589</v>
      </c>
    </row>
    <row r="62" spans="1:8" x14ac:dyDescent="0.35">
      <c r="A62" s="6" t="s">
        <v>56</v>
      </c>
      <c r="B62" s="4" t="s">
        <v>37</v>
      </c>
      <c r="C62" s="5" t="s">
        <v>55</v>
      </c>
      <c r="D62" s="5">
        <v>15552</v>
      </c>
      <c r="E62" s="4">
        <v>6</v>
      </c>
      <c r="F62" s="4">
        <f>IFERROR(VLOOKUP($A$14:$A$88,[1]DebitCard!$A$2:$B$117,2,0),0)</f>
        <v>2484</v>
      </c>
      <c r="G62" s="4">
        <f>IFERROR(VLOOKUP($A$14:$A$88,[1]TotalCasa!$A$2:$B$120,2,0),0)</f>
        <v>5427</v>
      </c>
      <c r="H62" s="3">
        <f>D62/365</f>
        <v>42.608219178082194</v>
      </c>
    </row>
    <row r="63" spans="1:8" x14ac:dyDescent="0.35">
      <c r="A63" s="6" t="s">
        <v>54</v>
      </c>
      <c r="B63" s="4" t="s">
        <v>37</v>
      </c>
      <c r="C63" s="5" t="s">
        <v>53</v>
      </c>
      <c r="D63" s="5">
        <v>13468</v>
      </c>
      <c r="E63" s="4">
        <v>7</v>
      </c>
      <c r="F63" s="4">
        <f>IFERROR(VLOOKUP($A$14:$A$88,[1]DebitCard!$A$2:$B$117,2,0),0)</f>
        <v>1809</v>
      </c>
      <c r="G63" s="4">
        <f>IFERROR(VLOOKUP($A$14:$A$88,[1]TotalCasa!$A$2:$B$120,2,0),0)</f>
        <v>6851</v>
      </c>
      <c r="H63" s="3">
        <f>D63/365</f>
        <v>36.898630136986299</v>
      </c>
    </row>
    <row r="64" spans="1:8" x14ac:dyDescent="0.35">
      <c r="A64" s="6" t="s">
        <v>52</v>
      </c>
      <c r="B64" s="4" t="s">
        <v>37</v>
      </c>
      <c r="C64" s="5" t="s">
        <v>51</v>
      </c>
      <c r="D64" s="5">
        <v>12736</v>
      </c>
      <c r="E64" s="4">
        <v>8</v>
      </c>
      <c r="F64" s="4">
        <f>IFERROR(VLOOKUP($A$14:$A$88,[1]DebitCard!$A$2:$B$117,2,0),0)</f>
        <v>2670</v>
      </c>
      <c r="G64" s="4">
        <f>IFERROR(VLOOKUP($A$14:$A$88,[1]TotalCasa!$A$2:$B$120,2,0),0)</f>
        <v>13456</v>
      </c>
      <c r="H64" s="3">
        <f>D64/365</f>
        <v>34.893150684931506</v>
      </c>
    </row>
    <row r="65" spans="1:8" x14ac:dyDescent="0.35">
      <c r="A65" s="6" t="s">
        <v>50</v>
      </c>
      <c r="B65" s="4" t="s">
        <v>37</v>
      </c>
      <c r="C65" s="5" t="s">
        <v>49</v>
      </c>
      <c r="D65" s="5">
        <v>12492</v>
      </c>
      <c r="E65" s="4">
        <v>9</v>
      </c>
      <c r="F65" s="4">
        <f>IFERROR(VLOOKUP($A$14:$A$88,[1]DebitCard!$A$2:$B$117,2,0),0)</f>
        <v>2347</v>
      </c>
      <c r="G65" s="4">
        <f>IFERROR(VLOOKUP($A$14:$A$88,[1]TotalCasa!$A$2:$B$120,2,0),0)</f>
        <v>4756</v>
      </c>
      <c r="H65" s="3">
        <f>D65/365</f>
        <v>34.224657534246575</v>
      </c>
    </row>
    <row r="66" spans="1:8" x14ac:dyDescent="0.35">
      <c r="A66" s="6" t="s">
        <v>48</v>
      </c>
      <c r="B66" s="4" t="s">
        <v>37</v>
      </c>
      <c r="C66" s="5" t="s">
        <v>47</v>
      </c>
      <c r="D66" s="5">
        <v>9919</v>
      </c>
      <c r="E66" s="4">
        <v>10</v>
      </c>
      <c r="F66" s="4">
        <f>IFERROR(VLOOKUP($A$14:$A$88,[1]DebitCard!$A$2:$B$117,2,0),0)</f>
        <v>1318</v>
      </c>
      <c r="G66" s="4">
        <f>IFERROR(VLOOKUP($A$14:$A$88,[1]TotalCasa!$A$2:$B$120,2,0),0)</f>
        <v>4697</v>
      </c>
      <c r="H66" s="3">
        <f>D66/365</f>
        <v>27.175342465753424</v>
      </c>
    </row>
    <row r="67" spans="1:8" x14ac:dyDescent="0.35">
      <c r="A67" s="6" t="s">
        <v>46</v>
      </c>
      <c r="B67" s="4" t="s">
        <v>37</v>
      </c>
      <c r="C67" s="5" t="s">
        <v>45</v>
      </c>
      <c r="D67" s="5">
        <v>9739</v>
      </c>
      <c r="E67" s="4">
        <v>11</v>
      </c>
      <c r="F67" s="4">
        <f>IFERROR(VLOOKUP($A$14:$A$88,[1]DebitCard!$A$2:$B$117,2,0),0)</f>
        <v>1357</v>
      </c>
      <c r="G67" s="4">
        <f>IFERROR(VLOOKUP($A$14:$A$88,[1]TotalCasa!$A$2:$B$120,2,0),0)</f>
        <v>4789</v>
      </c>
      <c r="H67" s="3">
        <f>D67/365</f>
        <v>26.682191780821917</v>
      </c>
    </row>
    <row r="68" spans="1:8" x14ac:dyDescent="0.35">
      <c r="A68" s="6" t="s">
        <v>44</v>
      </c>
      <c r="B68" s="4" t="s">
        <v>37</v>
      </c>
      <c r="C68" s="5" t="s">
        <v>43</v>
      </c>
      <c r="D68" s="5">
        <v>9493</v>
      </c>
      <c r="E68" s="4">
        <v>12</v>
      </c>
      <c r="F68" s="4">
        <f>IFERROR(VLOOKUP($A$14:$A$88,[1]DebitCard!$A$2:$B$117,2,0),0)</f>
        <v>1822</v>
      </c>
      <c r="G68" s="4">
        <f>IFERROR(VLOOKUP($A$14:$A$88,[1]TotalCasa!$A$2:$B$120,2,0),0)</f>
        <v>6270</v>
      </c>
      <c r="H68" s="3">
        <f>D68/365</f>
        <v>26.008219178082193</v>
      </c>
    </row>
    <row r="69" spans="1:8" x14ac:dyDescent="0.35">
      <c r="A69" s="6" t="s">
        <v>42</v>
      </c>
      <c r="B69" s="4" t="s">
        <v>37</v>
      </c>
      <c r="C69" s="5" t="s">
        <v>41</v>
      </c>
      <c r="D69" s="5">
        <v>8562</v>
      </c>
      <c r="E69" s="4">
        <v>13</v>
      </c>
      <c r="F69" s="4">
        <f>IFERROR(VLOOKUP($A$14:$A$88,[1]DebitCard!$A$2:$B$117,2,0),0)</f>
        <v>1727</v>
      </c>
      <c r="G69" s="4">
        <f>IFERROR(VLOOKUP($A$14:$A$88,[1]TotalCasa!$A$2:$B$120,2,0),0)</f>
        <v>6773</v>
      </c>
      <c r="H69" s="3">
        <f>D69/365</f>
        <v>23.457534246575342</v>
      </c>
    </row>
    <row r="70" spans="1:8" x14ac:dyDescent="0.35">
      <c r="A70" s="6" t="s">
        <v>40</v>
      </c>
      <c r="B70" s="4" t="s">
        <v>37</v>
      </c>
      <c r="C70" s="5" t="s">
        <v>39</v>
      </c>
      <c r="D70" s="5">
        <v>5614</v>
      </c>
      <c r="E70" s="4">
        <v>14</v>
      </c>
      <c r="F70" s="4">
        <f>IFERROR(VLOOKUP($A$14:$A$88,[1]DebitCard!$A$2:$B$117,2,0),0)</f>
        <v>1477</v>
      </c>
      <c r="G70" s="4">
        <f>IFERROR(VLOOKUP($A$14:$A$88,[1]TotalCasa!$A$2:$B$120,2,0),0)</f>
        <v>3662</v>
      </c>
      <c r="H70" s="3">
        <f>D70/365</f>
        <v>15.38082191780822</v>
      </c>
    </row>
    <row r="71" spans="1:8" x14ac:dyDescent="0.35">
      <c r="A71" s="6" t="s">
        <v>38</v>
      </c>
      <c r="B71" s="4" t="s">
        <v>37</v>
      </c>
      <c r="C71" s="5" t="s">
        <v>36</v>
      </c>
      <c r="D71" s="5">
        <v>3314</v>
      </c>
      <c r="E71" s="4">
        <v>15</v>
      </c>
      <c r="F71" s="4">
        <f>IFERROR(VLOOKUP($A$14:$A$88,[1]DebitCard!$A$2:$B$117,2,0),0)</f>
        <v>1465</v>
      </c>
      <c r="G71" s="4">
        <f>IFERROR(VLOOKUP($A$14:$A$88,[1]TotalCasa!$A$2:$B$120,2,0),0)</f>
        <v>7447</v>
      </c>
      <c r="H71" s="3">
        <f>D71/365</f>
        <v>9.0794520547945208</v>
      </c>
    </row>
    <row r="72" spans="1:8" x14ac:dyDescent="0.35">
      <c r="A72" s="6" t="s">
        <v>35</v>
      </c>
      <c r="B72" s="4" t="s">
        <v>22</v>
      </c>
      <c r="C72" s="5" t="s">
        <v>34</v>
      </c>
      <c r="D72" s="5">
        <v>23312</v>
      </c>
      <c r="E72" s="4">
        <v>1</v>
      </c>
      <c r="F72" s="4">
        <f>IFERROR(VLOOKUP($A$14:$A$88,[1]DebitCard!$A$2:$B$117,2,0),0)</f>
        <v>3829</v>
      </c>
      <c r="G72" s="4">
        <f>IFERROR(VLOOKUP($A$14:$A$88,[1]TotalCasa!$A$2:$B$120,2,0),0)</f>
        <v>13677</v>
      </c>
      <c r="H72" s="3">
        <f>D72/365</f>
        <v>63.868493150684934</v>
      </c>
    </row>
    <row r="73" spans="1:8" x14ac:dyDescent="0.35">
      <c r="A73" s="6" t="s">
        <v>33</v>
      </c>
      <c r="B73" s="4" t="s">
        <v>22</v>
      </c>
      <c r="C73" s="5" t="s">
        <v>32</v>
      </c>
      <c r="D73" s="5">
        <v>21023</v>
      </c>
      <c r="E73" s="4">
        <v>2</v>
      </c>
      <c r="F73" s="4">
        <f>IFERROR(VLOOKUP($A$14:$A$88,[1]DebitCard!$A$2:$B$117,2,0),0)</f>
        <v>2660</v>
      </c>
      <c r="G73" s="4">
        <f>IFERROR(VLOOKUP($A$14:$A$88,[1]TotalCasa!$A$2:$B$120,2,0),0)</f>
        <v>9645</v>
      </c>
      <c r="H73" s="3">
        <f>D73/365</f>
        <v>57.597260273972601</v>
      </c>
    </row>
    <row r="74" spans="1:8" x14ac:dyDescent="0.35">
      <c r="A74" s="6" t="s">
        <v>31</v>
      </c>
      <c r="B74" s="4" t="s">
        <v>22</v>
      </c>
      <c r="C74" s="5" t="s">
        <v>30</v>
      </c>
      <c r="D74" s="5">
        <v>17422</v>
      </c>
      <c r="E74" s="4">
        <v>3</v>
      </c>
      <c r="F74" s="4">
        <f>IFERROR(VLOOKUP($A$14:$A$88,[1]DebitCard!$A$2:$B$117,2,0),0)</f>
        <v>3272</v>
      </c>
      <c r="G74" s="4">
        <f>IFERROR(VLOOKUP($A$14:$A$88,[1]TotalCasa!$A$2:$B$120,2,0),0)</f>
        <v>15092</v>
      </c>
      <c r="H74" s="3">
        <f>D74/365</f>
        <v>47.731506849315068</v>
      </c>
    </row>
    <row r="75" spans="1:8" x14ac:dyDescent="0.35">
      <c r="A75" s="6" t="s">
        <v>29</v>
      </c>
      <c r="B75" s="4" t="s">
        <v>22</v>
      </c>
      <c r="C75" s="5" t="s">
        <v>28</v>
      </c>
      <c r="D75" s="5">
        <v>14917</v>
      </c>
      <c r="E75" s="4">
        <v>4</v>
      </c>
      <c r="F75" s="4">
        <f>IFERROR(VLOOKUP($A$14:$A$88,[1]DebitCard!$A$2:$B$117,2,0),0)</f>
        <v>2073</v>
      </c>
      <c r="G75" s="4">
        <f>IFERROR(VLOOKUP($A$14:$A$88,[1]TotalCasa!$A$2:$B$120,2,0),0)</f>
        <v>8266</v>
      </c>
      <c r="H75" s="3">
        <f>D75/365</f>
        <v>40.868493150684934</v>
      </c>
    </row>
    <row r="76" spans="1:8" x14ac:dyDescent="0.35">
      <c r="A76" s="6" t="s">
        <v>27</v>
      </c>
      <c r="B76" s="4" t="s">
        <v>22</v>
      </c>
      <c r="C76" s="5" t="s">
        <v>26</v>
      </c>
      <c r="D76" s="5">
        <v>12547</v>
      </c>
      <c r="E76" s="4">
        <v>5</v>
      </c>
      <c r="F76" s="4">
        <f>IFERROR(VLOOKUP($A$14:$A$88,[1]DebitCard!$A$2:$B$117,2,0),0)</f>
        <v>3185</v>
      </c>
      <c r="G76" s="4">
        <f>IFERROR(VLOOKUP($A$14:$A$88,[1]TotalCasa!$A$2:$B$120,2,0),0)</f>
        <v>8979</v>
      </c>
      <c r="H76" s="3">
        <f>D76/365</f>
        <v>34.375342465753427</v>
      </c>
    </row>
    <row r="77" spans="1:8" x14ac:dyDescent="0.35">
      <c r="A77" s="6" t="s">
        <v>25</v>
      </c>
      <c r="B77" s="4" t="s">
        <v>22</v>
      </c>
      <c r="C77" s="5" t="s">
        <v>24</v>
      </c>
      <c r="D77" s="5">
        <v>11039</v>
      </c>
      <c r="E77" s="4">
        <v>6</v>
      </c>
      <c r="F77" s="4">
        <f>IFERROR(VLOOKUP($A$14:$A$88,[1]DebitCard!$A$2:$B$117,2,0),0)</f>
        <v>2535</v>
      </c>
      <c r="G77" s="4">
        <f>IFERROR(VLOOKUP($A$14:$A$88,[1]TotalCasa!$A$2:$B$120,2,0),0)</f>
        <v>12544</v>
      </c>
      <c r="H77" s="3">
        <f>D77/365</f>
        <v>30.243835616438357</v>
      </c>
    </row>
    <row r="78" spans="1:8" x14ac:dyDescent="0.35">
      <c r="A78" s="6" t="s">
        <v>23</v>
      </c>
      <c r="B78" s="4" t="s">
        <v>22</v>
      </c>
      <c r="C78" s="5" t="s">
        <v>21</v>
      </c>
      <c r="D78" s="5">
        <v>10263</v>
      </c>
      <c r="E78" s="4">
        <v>7</v>
      </c>
      <c r="F78" s="4">
        <f>IFERROR(VLOOKUP($A$14:$A$88,[1]DebitCard!$A$2:$B$117,2,0),0)</f>
        <v>3795</v>
      </c>
      <c r="G78" s="4">
        <f>IFERROR(VLOOKUP($A$14:$A$88,[1]TotalCasa!$A$2:$B$120,2,0),0)</f>
        <v>19416</v>
      </c>
      <c r="H78" s="3">
        <f>D78/365</f>
        <v>28.117808219178084</v>
      </c>
    </row>
    <row r="79" spans="1:8" x14ac:dyDescent="0.35">
      <c r="A79" s="6" t="s">
        <v>20</v>
      </c>
      <c r="B79" s="4" t="s">
        <v>1</v>
      </c>
      <c r="C79" s="5" t="s">
        <v>19</v>
      </c>
      <c r="D79" s="5">
        <v>11459</v>
      </c>
      <c r="E79" s="4">
        <v>1</v>
      </c>
      <c r="F79" s="4">
        <f>IFERROR(VLOOKUP($A$14:$A$88,[1]DebitCard!$A$2:$B$117,2,0),0)</f>
        <v>2038</v>
      </c>
      <c r="G79" s="4">
        <f>IFERROR(VLOOKUP($A$14:$A$88,[1]TotalCasa!$A$2:$B$120,2,0),0)</f>
        <v>10163</v>
      </c>
      <c r="H79" s="3">
        <f>D79/365</f>
        <v>31.394520547945206</v>
      </c>
    </row>
    <row r="80" spans="1:8" x14ac:dyDescent="0.35">
      <c r="A80" s="6" t="s">
        <v>18</v>
      </c>
      <c r="B80" s="4" t="s">
        <v>1</v>
      </c>
      <c r="C80" s="5" t="s">
        <v>17</v>
      </c>
      <c r="D80" s="5">
        <v>9105</v>
      </c>
      <c r="E80" s="4">
        <v>2</v>
      </c>
      <c r="F80" s="4">
        <f>IFERROR(VLOOKUP($A$14:$A$88,[1]DebitCard!$A$2:$B$117,2,0),0)</f>
        <v>2511</v>
      </c>
      <c r="G80" s="4">
        <f>IFERROR(VLOOKUP($A$14:$A$88,[1]TotalCasa!$A$2:$B$120,2,0),0)</f>
        <v>7641</v>
      </c>
      <c r="H80" s="3">
        <f>D80/365</f>
        <v>24.945205479452056</v>
      </c>
    </row>
    <row r="81" spans="1:8" x14ac:dyDescent="0.35">
      <c r="A81" s="6" t="s">
        <v>16</v>
      </c>
      <c r="B81" s="4" t="s">
        <v>1</v>
      </c>
      <c r="C81" s="5" t="s">
        <v>15</v>
      </c>
      <c r="D81" s="5">
        <v>8795</v>
      </c>
      <c r="E81" s="4">
        <v>3</v>
      </c>
      <c r="F81" s="4">
        <f>IFERROR(VLOOKUP($A$14:$A$88,[1]DebitCard!$A$2:$B$117,2,0),0)</f>
        <v>3394</v>
      </c>
      <c r="G81" s="4">
        <f>IFERROR(VLOOKUP($A$14:$A$88,[1]TotalCasa!$A$2:$B$120,2,0),0)</f>
        <v>13524</v>
      </c>
      <c r="H81" s="3">
        <f>D81/365</f>
        <v>24.095890410958905</v>
      </c>
    </row>
    <row r="82" spans="1:8" x14ac:dyDescent="0.35">
      <c r="A82" s="6" t="s">
        <v>14</v>
      </c>
      <c r="B82" s="4" t="s">
        <v>1</v>
      </c>
      <c r="C82" s="5" t="s">
        <v>13</v>
      </c>
      <c r="D82" s="5">
        <v>8673</v>
      </c>
      <c r="E82" s="4">
        <v>4</v>
      </c>
      <c r="F82" s="4">
        <f>IFERROR(VLOOKUP($A$14:$A$88,[1]DebitCard!$A$2:$B$117,2,0),0)</f>
        <v>1852</v>
      </c>
      <c r="G82" s="4">
        <f>IFERROR(VLOOKUP($A$14:$A$88,[1]TotalCasa!$A$2:$B$120,2,0),0)</f>
        <v>6212</v>
      </c>
      <c r="H82" s="3">
        <f>D82/365</f>
        <v>23.761643835616439</v>
      </c>
    </row>
    <row r="83" spans="1:8" x14ac:dyDescent="0.35">
      <c r="A83" s="6" t="s">
        <v>12</v>
      </c>
      <c r="B83" s="4" t="s">
        <v>1</v>
      </c>
      <c r="C83" s="5" t="s">
        <v>11</v>
      </c>
      <c r="D83" s="5">
        <v>7402</v>
      </c>
      <c r="E83" s="4">
        <v>5</v>
      </c>
      <c r="F83" s="4">
        <f>IFERROR(VLOOKUP($A$14:$A$88,[1]DebitCard!$A$2:$B$117,2,0),0)</f>
        <v>2190</v>
      </c>
      <c r="G83" s="4">
        <f>IFERROR(VLOOKUP($A$14:$A$88,[1]TotalCasa!$A$2:$B$120,2,0),0)</f>
        <v>4853</v>
      </c>
      <c r="H83" s="3">
        <f>D83/365</f>
        <v>20.279452054794522</v>
      </c>
    </row>
    <row r="84" spans="1:8" x14ac:dyDescent="0.35">
      <c r="A84" s="6" t="s">
        <v>10</v>
      </c>
      <c r="B84" s="4" t="s">
        <v>1</v>
      </c>
      <c r="C84" s="5" t="s">
        <v>9</v>
      </c>
      <c r="D84" s="5">
        <v>6898</v>
      </c>
      <c r="E84" s="4">
        <v>6</v>
      </c>
      <c r="F84" s="4">
        <f>IFERROR(VLOOKUP($A$14:$A$88,[1]DebitCard!$A$2:$B$117,2,0),0)</f>
        <v>797</v>
      </c>
      <c r="G84" s="4">
        <f>IFERROR(VLOOKUP($A$14:$A$88,[1]TotalCasa!$A$2:$B$120,2,0),0)</f>
        <v>5079</v>
      </c>
      <c r="H84" s="3">
        <f>D84/365</f>
        <v>18.898630136986302</v>
      </c>
    </row>
    <row r="85" spans="1:8" x14ac:dyDescent="0.35">
      <c r="A85" s="6" t="s">
        <v>8</v>
      </c>
      <c r="B85" s="4" t="s">
        <v>1</v>
      </c>
      <c r="C85" s="5" t="s">
        <v>7</v>
      </c>
      <c r="D85" s="5">
        <v>6424</v>
      </c>
      <c r="E85" s="4">
        <v>7</v>
      </c>
      <c r="F85" s="4">
        <f>IFERROR(VLOOKUP($A$14:$A$88,[1]DebitCard!$A$2:$B$117,2,0),0)</f>
        <v>2299</v>
      </c>
      <c r="G85" s="4">
        <f>IFERROR(VLOOKUP($A$14:$A$88,[1]TotalCasa!$A$2:$B$120,2,0),0)</f>
        <v>6415</v>
      </c>
      <c r="H85" s="3">
        <f>D85/365</f>
        <v>17.600000000000001</v>
      </c>
    </row>
    <row r="86" spans="1:8" x14ac:dyDescent="0.35">
      <c r="A86" s="6" t="s">
        <v>6</v>
      </c>
      <c r="B86" s="4" t="s">
        <v>1</v>
      </c>
      <c r="C86" s="5" t="s">
        <v>5</v>
      </c>
      <c r="D86" s="5">
        <v>4779</v>
      </c>
      <c r="E86" s="4">
        <v>8</v>
      </c>
      <c r="F86" s="4">
        <f>IFERROR(VLOOKUP($A$14:$A$88,[1]DebitCard!$A$2:$B$117,2,0),0)</f>
        <v>2102</v>
      </c>
      <c r="G86" s="4">
        <f>IFERROR(VLOOKUP($A$14:$A$88,[1]TotalCasa!$A$2:$B$120,2,0),0)</f>
        <v>7171</v>
      </c>
      <c r="H86" s="3">
        <f>D86/365</f>
        <v>13.093150684931507</v>
      </c>
    </row>
    <row r="87" spans="1:8" x14ac:dyDescent="0.35">
      <c r="A87" s="6" t="s">
        <v>4</v>
      </c>
      <c r="B87" s="4" t="s">
        <v>1</v>
      </c>
      <c r="C87" s="5" t="s">
        <v>3</v>
      </c>
      <c r="D87" s="5">
        <v>4765</v>
      </c>
      <c r="E87" s="4">
        <v>9</v>
      </c>
      <c r="F87" s="4">
        <f>IFERROR(VLOOKUP($A$14:$A$88,[1]DebitCard!$A$2:$B$117,2,0),0)</f>
        <v>1838</v>
      </c>
      <c r="G87" s="4">
        <f>IFERROR(VLOOKUP($A$14:$A$88,[1]TotalCasa!$A$2:$B$120,2,0),0)</f>
        <v>6420</v>
      </c>
      <c r="H87" s="3">
        <f>D87/365</f>
        <v>13.054794520547945</v>
      </c>
    </row>
    <row r="88" spans="1:8" x14ac:dyDescent="0.35">
      <c r="A88" s="6" t="s">
        <v>2</v>
      </c>
      <c r="B88" s="4" t="s">
        <v>1</v>
      </c>
      <c r="C88" s="5" t="s">
        <v>0</v>
      </c>
      <c r="D88" s="5">
        <v>2399</v>
      </c>
      <c r="E88" s="4">
        <v>10</v>
      </c>
      <c r="F88" s="4">
        <f>IFERROR(VLOOKUP($A$14:$A$88,[1]DebitCard!$A$2:$B$117,2,0),0)</f>
        <v>817</v>
      </c>
      <c r="G88" s="4">
        <f>IFERROR(VLOOKUP($A$14:$A$88,[1]TotalCasa!$A$2:$B$120,2,0),0)</f>
        <v>2077</v>
      </c>
      <c r="H88" s="3">
        <f>D88/365</f>
        <v>6.5726027397260278</v>
      </c>
    </row>
    <row r="89" spans="1:8" x14ac:dyDescent="0.35">
      <c r="D89" s="1">
        <f>SUM(D14:D88)</f>
        <v>918244</v>
      </c>
      <c r="F89">
        <f>SUM(F14:F88)</f>
        <v>158338</v>
      </c>
    </row>
  </sheetData>
  <pageMargins left="0.7" right="0.7" top="0.75" bottom="0.75" header="0.3" footer="0.3"/>
  <pageSetup paperSize="9" scale="73" fitToHeight="0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Branch Wise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 Sharma</dc:creator>
  <cp:lastModifiedBy>Krishna Sharma</cp:lastModifiedBy>
  <dcterms:created xsi:type="dcterms:W3CDTF">2026-04-28T08:05:04Z</dcterms:created>
  <dcterms:modified xsi:type="dcterms:W3CDTF">2026-04-28T08:05:24Z</dcterms:modified>
</cp:coreProperties>
</file>